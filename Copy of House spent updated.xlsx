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 2026" sheetId="1" r:id="rId5"/>
    <sheet state="visible" name="June 2026" sheetId="2" r:id="rId6"/>
    <sheet state="visible" name="July 2026" sheetId="3" r:id="rId7"/>
    <sheet state="visible" name="August 2026" sheetId="4" r:id="rId8"/>
    <sheet state="visible" name="Settings" sheetId="5" r:id="rId9"/>
  </sheets>
  <definedNames/>
  <calcPr/>
</workbook>
</file>

<file path=xl/sharedStrings.xml><?xml version="1.0" encoding="utf-8"?>
<sst xmlns="http://schemas.openxmlformats.org/spreadsheetml/2006/main" count="535" uniqueCount="65">
  <si>
    <t>Home Expense Tracker</t>
  </si>
  <si>
    <t>Month-End Summary</t>
  </si>
  <si>
    <t>Installments Tracker</t>
  </si>
  <si>
    <t>Select Month:</t>
  </si>
  <si>
    <t>Item Name</t>
  </si>
  <si>
    <t>Total Installments</t>
  </si>
  <si>
    <t>Current Installment</t>
  </si>
  <si>
    <t>Amount</t>
  </si>
  <si>
    <t>Person</t>
  </si>
  <si>
    <t>Milk Unit Price</t>
  </si>
  <si>
    <t>DIshwasher</t>
  </si>
  <si>
    <t>Ghosia</t>
  </si>
  <si>
    <t>Date</t>
  </si>
  <si>
    <t>Category</t>
  </si>
  <si>
    <t>Qty</t>
  </si>
  <si>
    <t>Note</t>
  </si>
  <si>
    <t>Subscription Fee</t>
  </si>
  <si>
    <t>Milk - Ghosia</t>
  </si>
  <si>
    <t>Total Milk Ghosia</t>
  </si>
  <si>
    <t>Milk - Guddo</t>
  </si>
  <si>
    <t>Total Milk Guddo</t>
  </si>
  <si>
    <t>Total Cost Ghosia</t>
  </si>
  <si>
    <t>Total Cost Guddo</t>
  </si>
  <si>
    <t>Total Salary</t>
  </si>
  <si>
    <t>Taymur's School Fee</t>
  </si>
  <si>
    <t>Month/Term</t>
  </si>
  <si>
    <t>Due Date</t>
  </si>
  <si>
    <t>Status</t>
  </si>
  <si>
    <t>Total Groceries</t>
  </si>
  <si>
    <t>Paid</t>
  </si>
  <si>
    <t>Total Expenses Ghosia</t>
  </si>
  <si>
    <t>Misc Expenses Ghosia</t>
  </si>
  <si>
    <t>Misc Expenses Guddo</t>
  </si>
  <si>
    <t>Transfer to Ghosia</t>
  </si>
  <si>
    <t>Total Expenses Guddo</t>
  </si>
  <si>
    <t>Policy Details</t>
  </si>
  <si>
    <t>Policy Name</t>
  </si>
  <si>
    <t>Premium Type</t>
  </si>
  <si>
    <t>all</t>
  </si>
  <si>
    <t>monthly</t>
  </si>
  <si>
    <t>Active</t>
  </si>
  <si>
    <t>Select Category:</t>
  </si>
  <si>
    <t>Misc Expense</t>
  </si>
  <si>
    <t>Guddo</t>
  </si>
  <si>
    <t>Canteen</t>
  </si>
  <si>
    <t>Saman</t>
  </si>
  <si>
    <t>Electricity - Ghosia</t>
  </si>
  <si>
    <t>cylinder</t>
  </si>
  <si>
    <t>canteen</t>
  </si>
  <si>
    <t>Eectrician+papaya+Taymur game</t>
  </si>
  <si>
    <t>Ghee</t>
  </si>
  <si>
    <t>Canteen saman(maggi, Sabun &amp; Soya sauce)</t>
  </si>
  <si>
    <t>650 teeth madecin+200 gosh+30 bread+ chuhemar</t>
  </si>
  <si>
    <t>Cash</t>
  </si>
  <si>
    <t>Household</t>
  </si>
  <si>
    <t>Country Delight</t>
  </si>
  <si>
    <t/>
  </si>
  <si>
    <t>Sugar</t>
  </si>
  <si>
    <t>Zahran's sword</t>
  </si>
  <si>
    <t>Fliipkart</t>
  </si>
  <si>
    <t>cASH</t>
  </si>
  <si>
    <t>eLECT</t>
  </si>
  <si>
    <t>Cylinder</t>
  </si>
  <si>
    <t>electricity</t>
  </si>
  <si>
    <t>burger &amp; online veg, TV repair, pulup bar, scooter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</si>
</sst>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yyyy"/>
    <numFmt numFmtId="165" formatCode="&quot;₹&quot;#,##0.00"/>
    <numFmt numFmtId="166" formatCode="&quot;$&quot;#,##0.00"/>
    <numFmt numFmtId="167" formatCode="yyyy-mm-dd"/>
    <numFmt numFmtId="168" formatCode="₹#,##0.00"/>
    <numFmt numFmtId="169" formatCode="m/d/yyyy"/>
  </numFmts>
  <fonts count="10">
    <font>
      <sz val="10.0"/>
      <color rgb="FF000000"/>
      <name val="Arial"/>
      <scheme val="minor"/>
    </font>
    <font>
      <b/>
      <sz val="14.0"/>
      <color rgb="FF006A6A"/>
      <name val="Montserrat"/>
    </font>
    <font>
      <b/>
      <sz val="11.0"/>
      <color rgb="FFFFFFFF"/>
      <name val="Montserrat"/>
    </font>
    <font>
      <b/>
      <color rgb="FFFFFFFF"/>
      <name val="Montserrat"/>
    </font>
    <font/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Roboto"/>
    </font>
    <font>
      <color theme="1"/>
      <name val="Roboto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6A6A"/>
        <bgColor rgb="FF006A6A"/>
      </patternFill>
    </fill>
    <fill>
      <patternFill patternType="solid">
        <fgColor rgb="FF00685B"/>
        <bgColor rgb="FF00685B"/>
      </patternFill>
    </fill>
    <fill>
      <patternFill patternType="solid">
        <fgColor rgb="FF006D60"/>
        <bgColor rgb="FF006D6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0" fillId="0" fontId="5" numFmtId="0" xfId="0" applyAlignment="1" applyFont="1">
      <alignment horizontal="left" readingOrder="0"/>
    </xf>
    <xf borderId="0" fillId="0" fontId="6" numFmtId="164" xfId="0" applyAlignment="1" applyFont="1" applyNumberFormat="1">
      <alignment horizontal="right" readingOrder="0"/>
    </xf>
    <xf borderId="3" fillId="3" fontId="3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3" fillId="0" fontId="8" numFmtId="0" xfId="0" applyAlignment="1" applyBorder="1" applyFont="1">
      <alignment readingOrder="0"/>
    </xf>
    <xf borderId="3" fillId="0" fontId="8" numFmtId="166" xfId="0" applyAlignment="1" applyBorder="1" applyFont="1" applyNumberFormat="1">
      <alignment readingOrder="0"/>
    </xf>
    <xf borderId="0" fillId="2" fontId="2" numFmtId="0" xfId="0" applyAlignment="1" applyFill="1" applyFont="1">
      <alignment horizontal="center"/>
    </xf>
    <xf borderId="0" fillId="0" fontId="7" numFmtId="0" xfId="0" applyAlignment="1" applyFont="1">
      <alignment readingOrder="0"/>
    </xf>
    <xf borderId="3" fillId="0" fontId="8" numFmtId="0" xfId="0" applyBorder="1" applyFont="1"/>
    <xf borderId="3" fillId="0" fontId="8" numFmtId="166" xfId="0" applyBorder="1" applyFont="1" applyNumberFormat="1"/>
    <xf borderId="0" fillId="0" fontId="7" numFmtId="167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0" fontId="7" numFmtId="165" xfId="0" applyFont="1" applyNumberFormat="1"/>
    <xf borderId="0" fillId="0" fontId="7" numFmtId="0" xfId="0" applyFont="1"/>
    <xf borderId="0" fillId="0" fontId="7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165" xfId="0" applyFont="1" applyNumberFormat="1"/>
    <xf borderId="0" fillId="0" fontId="6" numFmtId="168" xfId="0" applyFont="1" applyNumberFormat="1"/>
    <xf borderId="0" fillId="0" fontId="5" numFmtId="0" xfId="0" applyAlignment="1" applyFont="1">
      <alignment horizontal="right"/>
    </xf>
    <xf borderId="0" fillId="4" fontId="9" numFmtId="0" xfId="0" applyAlignment="1" applyFill="1" applyFont="1">
      <alignment horizontal="center"/>
    </xf>
    <xf borderId="0" fillId="0" fontId="6" numFmtId="167" xfId="0" applyFont="1" applyNumberFormat="1"/>
    <xf borderId="0" fillId="0" fontId="7" numFmtId="169" xfId="0" applyAlignment="1" applyFont="1" applyNumberFormat="1">
      <alignment readingOrder="0"/>
    </xf>
    <xf borderId="0" fillId="0" fontId="7" numFmtId="3" xfId="0" applyFont="1" applyNumberFormat="1"/>
    <xf borderId="0" fillId="0" fontId="7" numFmtId="168" xfId="0" applyAlignment="1" applyFont="1" applyNumberForma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685B"/>
          <bgColor rgb="FF00685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F2EF"/>
          <bgColor rgb="FFE5F2EF"/>
        </patternFill>
      </fill>
      <border/>
    </dxf>
    <dxf>
      <font/>
      <fill>
        <patternFill patternType="solid">
          <fgColor rgb="FFF4FAF9"/>
          <bgColor rgb="FFF4FAF9"/>
        </patternFill>
      </fill>
      <border/>
    </dxf>
  </dxfs>
  <tableStyles count="32">
    <tableStyle count="3" pivot="0" name="Sept 2026-style">
      <tableStyleElement dxfId="1" type="headerRow"/>
      <tableStyleElement dxfId="2" type="firstRowStripe"/>
      <tableStyleElement dxfId="3" type="secondRowStripe"/>
    </tableStyle>
    <tableStyle count="3" pivot="0" name="June 2026-style">
      <tableStyleElement dxfId="1" type="headerRow"/>
      <tableStyleElement dxfId="2" type="firstRowStripe"/>
      <tableStyleElement dxfId="3" type="secondRowStripe"/>
    </tableStyle>
    <tableStyle count="3" pivot="0" name="June 2026-style 2">
      <tableStyleElement dxfId="1" type="headerRow"/>
      <tableStyleElement dxfId="2" type="firstRowStripe"/>
      <tableStyleElement dxfId="3" type="secondRowStripe"/>
    </tableStyle>
    <tableStyle count="3" pivot="0" name="Sept 2026-style 2">
      <tableStyleElement dxfId="1" type="headerRow"/>
      <tableStyleElement dxfId="2" type="firstRowStripe"/>
      <tableStyleElement dxfId="3" type="secondRowStripe"/>
    </tableStyle>
    <tableStyle count="2" pivot="0" name="June 2026-style 3">
      <tableStyleElement dxfId="4" type="firstRowStripe"/>
      <tableStyleElement dxfId="2" type="secondRowStripe"/>
    </tableStyle>
    <tableStyle count="2" pivot="0" name="Sept 2026-style 3">
      <tableStyleElement dxfId="4" type="firstRowStripe"/>
      <tableStyleElement dxfId="2" type="secondRowStripe"/>
    </tableStyle>
    <tableStyle count="2" pivot="0" name="June 2026-style 4">
      <tableStyleElement dxfId="4" type="firstRowStripe"/>
      <tableStyleElement dxfId="2" type="secondRowStripe"/>
    </tableStyle>
    <tableStyle count="2" pivot="0" name="Sept 2026-style 4">
      <tableStyleElement dxfId="4" type="firstRowStripe"/>
      <tableStyleElement dxfId="2" type="secondRowStripe"/>
    </tableStyle>
    <tableStyle count="3" pivot="0" name="Sept 2026-style 5">
      <tableStyleElement dxfId="1" type="headerRow"/>
      <tableStyleElement dxfId="2" type="firstRowStripe"/>
      <tableStyleElement dxfId="3" type="secondRowStripe"/>
    </tableStyle>
    <tableStyle count="3" pivot="0" name="June 2026-style 5">
      <tableStyleElement dxfId="1" type="headerRow"/>
      <tableStyleElement dxfId="2" type="firstRowStripe"/>
      <tableStyleElement dxfId="3" type="secondRowStripe"/>
    </tableStyle>
    <tableStyle count="3" pivot="0" name="Sept 2026-style 6">
      <tableStyleElement dxfId="1" type="headerRow"/>
      <tableStyleElement dxfId="2" type="firstRowStripe"/>
      <tableStyleElement dxfId="3" type="secondRowStripe"/>
    </tableStyle>
    <tableStyle count="3" pivot="0" name="June 2026-style 6">
      <tableStyleElement dxfId="1" type="headerRow"/>
      <tableStyleElement dxfId="2" type="firstRowStripe"/>
      <tableStyleElement dxfId="3" type="secondRowStripe"/>
    </tableStyle>
    <tableStyle count="3" pivot="0" name="Sept 2026-style 7">
      <tableStyleElement dxfId="1" type="headerRow"/>
      <tableStyleElement dxfId="2" type="firstRowStripe"/>
      <tableStyleElement dxfId="3" type="secondRowStripe"/>
    </tableStyle>
    <tableStyle count="3" pivot="0" name="June 2026-style 7">
      <tableStyleElement dxfId="1" type="headerRow"/>
      <tableStyleElement dxfId="2" type="firstRowStripe"/>
      <tableStyleElement dxfId="3" type="secondRowStripe"/>
    </tableStyle>
    <tableStyle count="3" pivot="0" name="Sept 2026-style 8">
      <tableStyleElement dxfId="1" type="headerRow"/>
      <tableStyleElement dxfId="2" type="firstRowStripe"/>
      <tableStyleElement dxfId="3" type="secondRowStripe"/>
    </tableStyle>
    <tableStyle count="3" pivot="0" name="June 2026-style 8">
      <tableStyleElement dxfId="1" type="headerRow"/>
      <tableStyleElement dxfId="2" type="firstRowStripe"/>
      <tableStyleElement dxfId="3" type="secondRowStripe"/>
    </tableStyle>
    <tableStyle count="3" pivot="0" name="July 2026-style">
      <tableStyleElement dxfId="1" type="headerRow"/>
      <tableStyleElement dxfId="2" type="firstRowStripe"/>
      <tableStyleElement dxfId="3" type="secondRowStripe"/>
    </tableStyle>
    <tableStyle count="3" pivot="0" name="July 2026-style 2">
      <tableStyleElement dxfId="1" type="headerRow"/>
      <tableStyleElement dxfId="2" type="firstRowStripe"/>
      <tableStyleElement dxfId="3" type="secondRowStripe"/>
    </tableStyle>
    <tableStyle count="2" pivot="0" name="July 2026-style 3">
      <tableStyleElement dxfId="4" type="firstRowStripe"/>
      <tableStyleElement dxfId="2" type="secondRowStripe"/>
    </tableStyle>
    <tableStyle count="2" pivot="0" name="July 2026-style 4">
      <tableStyleElement dxfId="4" type="firstRowStripe"/>
      <tableStyleElement dxfId="2" type="secondRowStripe"/>
    </tableStyle>
    <tableStyle count="3" pivot="0" name="July 2026-style 5">
      <tableStyleElement dxfId="1" type="headerRow"/>
      <tableStyleElement dxfId="2" type="firstRowStripe"/>
      <tableStyleElement dxfId="3" type="secondRowStripe"/>
    </tableStyle>
    <tableStyle count="3" pivot="0" name="July 2026-style 6">
      <tableStyleElement dxfId="1" type="headerRow"/>
      <tableStyleElement dxfId="2" type="firstRowStripe"/>
      <tableStyleElement dxfId="3" type="secondRowStripe"/>
    </tableStyle>
    <tableStyle count="3" pivot="0" name="July 2026-style 7">
      <tableStyleElement dxfId="1" type="headerRow"/>
      <tableStyleElement dxfId="2" type="firstRowStripe"/>
      <tableStyleElement dxfId="3" type="secondRowStripe"/>
    </tableStyle>
    <tableStyle count="3" pivot="0" name="July 2026-style 8">
      <tableStyleElement dxfId="1" type="headerRow"/>
      <tableStyleElement dxfId="2" type="firstRowStripe"/>
      <tableStyleElement dxfId="3" type="secondRowStripe"/>
    </tableStyle>
    <tableStyle count="3" pivot="0" name="August 2026-style">
      <tableStyleElement dxfId="1" type="headerRow"/>
      <tableStyleElement dxfId="2" type="firstRowStripe"/>
      <tableStyleElement dxfId="3" type="secondRowStripe"/>
    </tableStyle>
    <tableStyle count="3" pivot="0" name="August 2026-style 2">
      <tableStyleElement dxfId="1" type="headerRow"/>
      <tableStyleElement dxfId="2" type="firstRowStripe"/>
      <tableStyleElement dxfId="3" type="secondRowStripe"/>
    </tableStyle>
    <tableStyle count="2" pivot="0" name="August 2026-style 3">
      <tableStyleElement dxfId="4" type="firstRowStripe"/>
      <tableStyleElement dxfId="2" type="secondRowStripe"/>
    </tableStyle>
    <tableStyle count="2" pivot="0" name="August 2026-style 4">
      <tableStyleElement dxfId="4" type="firstRowStripe"/>
      <tableStyleElement dxfId="2" type="secondRowStripe"/>
    </tableStyle>
    <tableStyle count="3" pivot="0" name="August 2026-style 5">
      <tableStyleElement dxfId="1" type="headerRow"/>
      <tableStyleElement dxfId="2" type="firstRowStripe"/>
      <tableStyleElement dxfId="3" type="secondRowStripe"/>
    </tableStyle>
    <tableStyle count="3" pivot="0" name="August 2026-style 6">
      <tableStyleElement dxfId="1" type="headerRow"/>
      <tableStyleElement dxfId="2" type="firstRowStripe"/>
      <tableStyleElement dxfId="3" type="secondRowStripe"/>
    </tableStyle>
    <tableStyle count="3" pivot="0" name="August 2026-style 7">
      <tableStyleElement dxfId="1" type="headerRow"/>
      <tableStyleElement dxfId="2" type="firstRowStripe"/>
      <tableStyleElement dxfId="3" type="secondRowStripe"/>
    </tableStyle>
    <tableStyle count="3" pivot="0" name="August 2026-style 8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K3:N8" displayName="Table_1" name="Table_1" id="1">
  <tableColumns count="4">
    <tableColumn name="Item Name" id="1"/>
    <tableColumn name="Total Installments" id="2"/>
    <tableColumn name="Current Installment" id="3"/>
    <tableColumn name="Amount" id="4"/>
  </tableColumns>
  <tableStyleInfo name="Sept 2026-style" showColumnStripes="0" showFirstColumn="1" showLastColumn="1" showRowStripes="1"/>
</table>
</file>

<file path=xl/tables/table2.xml><?xml version="1.0" encoding="utf-8"?>
<table xmlns="http://schemas.openxmlformats.org/spreadsheetml/2006/main" ref="O3:O8" displayName="Table_4" name="Table_4" id="3">
  <tableColumns count="1">
    <tableColumn name="Person" id="1"/>
  </tableColumns>
  <tableStyleInfo name="Sept 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B6:G73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pt 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H6:I10" displayName="Table_8" name="Table_8" id="8">
  <tableColumns count="2">
    <tableColumn name="Column1" id="1"/>
    <tableColumn name="Column2" id="2"/>
  </tableColumns>
  <tableStyleInfo name="Sept 2026-style 4" showColumnStripes="0" showFirstColumn="1" showLastColumn="1" showRowStripes="1"/>
</table>
</file>

<file path=xl/tables/table5.xml><?xml version="1.0" encoding="utf-8"?>
<table xmlns="http://schemas.openxmlformats.org/spreadsheetml/2006/main" ref="K11:N15" displayName="Table_9" name="Table_9" id="10">
  <tableColumns count="4">
    <tableColumn name="Month/Term" id="1"/>
    <tableColumn name="Due Date" id="2"/>
    <tableColumn name="Status" id="3"/>
    <tableColumn name="Amount" id="4"/>
  </tableColumns>
  <tableStyleInfo name="Sept 2026-style 5" showColumnStripes="0" showFirstColumn="1" showLastColumn="1" showRowStripes="1"/>
</table>
</file>

<file path=xl/tables/table6.xml><?xml version="1.0" encoding="utf-8"?>
<table xmlns="http://schemas.openxmlformats.org/spreadsheetml/2006/main" ref="O11:O15" displayName="Table_11" name="Table_11" id="11">
  <tableColumns count="1">
    <tableColumn name="Person" id="1"/>
  </tableColumns>
  <tableStyleInfo name="Sept 2026-style 6" showColumnStripes="0" showFirstColumn="1" showLastColumn="1" showRowStripes="1"/>
</table>
</file>

<file path=xl/tables/table7.xml><?xml version="1.0" encoding="utf-8"?>
<table xmlns="http://schemas.openxmlformats.org/spreadsheetml/2006/main" ref="K18:N22" displayName="Table_13" name="Table_13" id="13">
  <tableColumns count="4">
    <tableColumn name="Policy Name" id="1"/>
    <tableColumn name="Premium Type" id="2"/>
    <tableColumn name="Status" id="3"/>
    <tableColumn name="Amount" id="4"/>
  </tableColumns>
  <tableStyleInfo name="Sept 2026-style 7" showColumnStripes="0" showFirstColumn="1" showLastColumn="1" showRowStripes="1"/>
</table>
</file>

<file path=xl/tables/table8.xml><?xml version="1.0" encoding="utf-8"?>
<table xmlns="http://schemas.openxmlformats.org/spreadsheetml/2006/main" ref="O18:O22" displayName="Table_15" name="Table_15" id="15">
  <tableColumns count="1">
    <tableColumn name="Person" id="1"/>
  </tableColumns>
  <tableStyleInfo name="Sept 2026-style 8" showColumnStripes="0" showFirstColumn="1" showLastColumn="1" showRowStripes="1"/>
</table>
</file>

<file path=xl/tables/table9.xml><?xml version="1.0" encoding="utf-8"?>
<table xmlns="http://schemas.openxmlformats.org/spreadsheetml/2006/main" ref="K3:N8" displayName="Table_2" name="Table_2" id="2">
  <tableColumns count="4">
    <tableColumn name="Item Name" id="1"/>
    <tableColumn name="Total Installments" id="2"/>
    <tableColumn name="Current Installment" id="3"/>
    <tableColumn name="Amount" id="4"/>
  </tableColumns>
  <tableStyleInfo name="June 2026-style" showColumnStripes="0" showFirstColumn="1" showLastColumn="1" showRowStripes="1"/>
</table>
</file>

<file path=xl/tables/table10.xml><?xml version="1.0" encoding="utf-8"?>
<table xmlns="http://schemas.openxmlformats.org/spreadsheetml/2006/main" ref="O3:O8" displayName="Table_3" name="Table_3" id="4">
  <tableColumns count="1">
    <tableColumn name="Person" id="1"/>
  </tableColumns>
  <tableStyleInfo name="June 2026-style 2" showColumnStripes="0" showFirstColumn="1" showLastColumn="1" showRowStripes="1"/>
</table>
</file>

<file path=xl/tables/table11.xml><?xml version="1.0" encoding="utf-8"?>
<table xmlns="http://schemas.openxmlformats.org/spreadsheetml/2006/main" headerRowCount="0" ref="B6:G70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e 2026-style 3" showColumnStripes="0" showFirstColumn="1" showLastColumn="1" showRowStripes="1"/>
</table>
</file>

<file path=xl/tables/table12.xml><?xml version="1.0" encoding="utf-8"?>
<table xmlns="http://schemas.openxmlformats.org/spreadsheetml/2006/main" headerRowCount="0" ref="H6:I10" displayName="Table_7" name="Table_7" id="7">
  <tableColumns count="2">
    <tableColumn name="Column1" id="1"/>
    <tableColumn name="Column2" id="2"/>
  </tableColumns>
  <tableStyleInfo name="June 2026-style 4" showColumnStripes="0" showFirstColumn="1" showLastColumn="1" showRowStripes="1"/>
</table>
</file>

<file path=xl/tables/table13.xml><?xml version="1.0" encoding="utf-8"?>
<table xmlns="http://schemas.openxmlformats.org/spreadsheetml/2006/main" ref="K11:N15" displayName="Table_10" name="Table_10" id="9">
  <tableColumns count="4">
    <tableColumn name="Month/Term" id="1"/>
    <tableColumn name="Due Date" id="2"/>
    <tableColumn name="Status" id="3"/>
    <tableColumn name="Amount" id="4"/>
  </tableColumns>
  <tableStyleInfo name="June 2026-style 5" showColumnStripes="0" showFirstColumn="1" showLastColumn="1" showRowStripes="1"/>
</table>
</file>

<file path=xl/tables/table14.xml><?xml version="1.0" encoding="utf-8"?>
<table xmlns="http://schemas.openxmlformats.org/spreadsheetml/2006/main" ref="O11:O15" displayName="Table_12" name="Table_12" id="12">
  <tableColumns count="1">
    <tableColumn name="Person" id="1"/>
  </tableColumns>
  <tableStyleInfo name="June 2026-style 6" showColumnStripes="0" showFirstColumn="1" showLastColumn="1" showRowStripes="1"/>
</table>
</file>

<file path=xl/tables/table15.xml><?xml version="1.0" encoding="utf-8"?>
<table xmlns="http://schemas.openxmlformats.org/spreadsheetml/2006/main" ref="K18:N22" displayName="Table_14" name="Table_14" id="14">
  <tableColumns count="4">
    <tableColumn name="Policy Name" id="1"/>
    <tableColumn name="Premium Type" id="2"/>
    <tableColumn name="Status" id="3"/>
    <tableColumn name="Amount" id="4"/>
  </tableColumns>
  <tableStyleInfo name="June 2026-style 7" showColumnStripes="0" showFirstColumn="1" showLastColumn="1" showRowStripes="1"/>
</table>
</file>

<file path=xl/tables/table16.xml><?xml version="1.0" encoding="utf-8"?>
<table xmlns="http://schemas.openxmlformats.org/spreadsheetml/2006/main" ref="O18:O22" displayName="Table_16" name="Table_16" id="16">
  <tableColumns count="1">
    <tableColumn name="Person" id="1"/>
  </tableColumns>
  <tableStyleInfo name="June 2026-style 8" showColumnStripes="0" showFirstColumn="1" showLastColumn="1" showRowStripes="1"/>
</table>
</file>

<file path=xl/tables/table17.xml><?xml version="1.0" encoding="utf-8"?>
<table xmlns="http://schemas.openxmlformats.org/spreadsheetml/2006/main" ref="K3:N8" displayName="Table_17" name="Table_17" id="17">
  <tableColumns count="4">
    <tableColumn name="Item Name" id="1"/>
    <tableColumn name="Total Installments" id="2"/>
    <tableColumn name="Current Installment" id="3"/>
    <tableColumn name="Amount" id="4"/>
  </tableColumns>
  <tableStyleInfo name="July 2026-style" showColumnStripes="0" showFirstColumn="1" showLastColumn="1" showRowStripes="1"/>
</table>
</file>

<file path=xl/tables/table18.xml><?xml version="1.0" encoding="utf-8"?>
<table xmlns="http://schemas.openxmlformats.org/spreadsheetml/2006/main" ref="O3:O8" displayName="Table_18" name="Table_18" id="18">
  <tableColumns count="1">
    <tableColumn name="Person" id="1"/>
  </tableColumns>
  <tableStyleInfo name="July 2026-style 2" showColumnStripes="0" showFirstColumn="1" showLastColumn="1" showRowStripes="1"/>
</table>
</file>

<file path=xl/tables/table19.xml><?xml version="1.0" encoding="utf-8"?>
<table xmlns="http://schemas.openxmlformats.org/spreadsheetml/2006/main" headerRowCount="0" ref="B6:G70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ly 2026-style 3" showColumnStripes="0" showFirstColumn="1" showLastColumn="1" showRowStripes="1"/>
</table>
</file>

<file path=xl/tables/table20.xml><?xml version="1.0" encoding="utf-8"?>
<table xmlns="http://schemas.openxmlformats.org/spreadsheetml/2006/main" headerRowCount="0" ref="H6:I10" displayName="Table_20" name="Table_20" id="20">
  <tableColumns count="2">
    <tableColumn name="Column1" id="1"/>
    <tableColumn name="Column2" id="2"/>
  </tableColumns>
  <tableStyleInfo name="July 2026-style 4" showColumnStripes="0" showFirstColumn="1" showLastColumn="1" showRowStripes="1"/>
</table>
</file>

<file path=xl/tables/table21.xml><?xml version="1.0" encoding="utf-8"?>
<table xmlns="http://schemas.openxmlformats.org/spreadsheetml/2006/main" ref="K11:N15" displayName="Table_21" name="Table_21" id="21">
  <tableColumns count="4">
    <tableColumn name="Month/Term" id="1"/>
    <tableColumn name="Due Date" id="2"/>
    <tableColumn name="Status" id="3"/>
    <tableColumn name="Amount" id="4"/>
  </tableColumns>
  <tableStyleInfo name="July 2026-style 5" showColumnStripes="0" showFirstColumn="1" showLastColumn="1" showRowStripes="1"/>
</table>
</file>

<file path=xl/tables/table22.xml><?xml version="1.0" encoding="utf-8"?>
<table xmlns="http://schemas.openxmlformats.org/spreadsheetml/2006/main" ref="O11:O15" displayName="Table_22" name="Table_22" id="22">
  <tableColumns count="1">
    <tableColumn name="Person" id="1"/>
  </tableColumns>
  <tableStyleInfo name="July 2026-style 6" showColumnStripes="0" showFirstColumn="1" showLastColumn="1" showRowStripes="1"/>
</table>
</file>

<file path=xl/tables/table23.xml><?xml version="1.0" encoding="utf-8"?>
<table xmlns="http://schemas.openxmlformats.org/spreadsheetml/2006/main" ref="K18:N22" displayName="Table_23" name="Table_23" id="23">
  <tableColumns count="4">
    <tableColumn name="Policy Name" id="1"/>
    <tableColumn name="Premium Type" id="2"/>
    <tableColumn name="Status" id="3"/>
    <tableColumn name="Amount" id="4"/>
  </tableColumns>
  <tableStyleInfo name="July 2026-style 7" showColumnStripes="0" showFirstColumn="1" showLastColumn="1" showRowStripes="1"/>
</table>
</file>

<file path=xl/tables/table24.xml><?xml version="1.0" encoding="utf-8"?>
<table xmlns="http://schemas.openxmlformats.org/spreadsheetml/2006/main" ref="O18:O22" displayName="Table_24" name="Table_24" id="24">
  <tableColumns count="1">
    <tableColumn name="Person" id="1"/>
  </tableColumns>
  <tableStyleInfo name="July 2026-style 8" showColumnStripes="0" showFirstColumn="1" showLastColumn="1" showRowStripes="1"/>
</table>
</file>

<file path=xl/tables/table25.xml><?xml version="1.0" encoding="utf-8"?>
<table xmlns="http://schemas.openxmlformats.org/spreadsheetml/2006/main" ref="K3:N8" displayName="Table_25" name="Table_25" id="25">
  <tableColumns count="4">
    <tableColumn name="Item Name" id="1"/>
    <tableColumn name="Total Installments" id="2"/>
    <tableColumn name="Current Installment" id="3"/>
    <tableColumn name="Amount" id="4"/>
  </tableColumns>
  <tableStyleInfo name="August 2026-style" showColumnStripes="0" showFirstColumn="1" showLastColumn="1" showRowStripes="1"/>
</table>
</file>

<file path=xl/tables/table26.xml><?xml version="1.0" encoding="utf-8"?>
<table xmlns="http://schemas.openxmlformats.org/spreadsheetml/2006/main" ref="O3:O8" displayName="Table_26" name="Table_26" id="26">
  <tableColumns count="1">
    <tableColumn name="Person" id="1"/>
  </tableColumns>
  <tableStyleInfo name="August 2026-style 2" showColumnStripes="0" showFirstColumn="1" showLastColumn="1" showRowStripes="1"/>
</table>
</file>

<file path=xl/tables/table27.xml><?xml version="1.0" encoding="utf-8"?>
<table xmlns="http://schemas.openxmlformats.org/spreadsheetml/2006/main" headerRowCount="0" ref="B6:G75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ugust 2026-style 3" showColumnStripes="0" showFirstColumn="1" showLastColumn="1" showRowStripes="1"/>
</table>
</file>

<file path=xl/tables/table28.xml><?xml version="1.0" encoding="utf-8"?>
<table xmlns="http://schemas.openxmlformats.org/spreadsheetml/2006/main" headerRowCount="0" ref="H6:I10" displayName="Table_28" name="Table_28" id="28">
  <tableColumns count="2">
    <tableColumn name="Column1" id="1"/>
    <tableColumn name="Column2" id="2"/>
  </tableColumns>
  <tableStyleInfo name="August 2026-style 4" showColumnStripes="0" showFirstColumn="1" showLastColumn="1" showRowStripes="1"/>
</table>
</file>

<file path=xl/tables/table29.xml><?xml version="1.0" encoding="utf-8"?>
<table xmlns="http://schemas.openxmlformats.org/spreadsheetml/2006/main" ref="K11:N15" displayName="Table_29" name="Table_29" id="29">
  <tableColumns count="4">
    <tableColumn name="Month/Term" id="1"/>
    <tableColumn name="Due Date" id="2"/>
    <tableColumn name="Status" id="3"/>
    <tableColumn name="Amount" id="4"/>
  </tableColumns>
  <tableStyleInfo name="August 2026-style 5" showColumnStripes="0" showFirstColumn="1" showLastColumn="1" showRowStripes="1"/>
</table>
</file>

<file path=xl/tables/table30.xml><?xml version="1.0" encoding="utf-8"?>
<table xmlns="http://schemas.openxmlformats.org/spreadsheetml/2006/main" ref="O11:O15" displayName="Table_30" name="Table_30" id="30">
  <tableColumns count="1">
    <tableColumn name="Person" id="1"/>
  </tableColumns>
  <tableStyleInfo name="August 2026-style 6" showColumnStripes="0" showFirstColumn="1" showLastColumn="1" showRowStripes="1"/>
</table>
</file>

<file path=xl/tables/table31.xml><?xml version="1.0" encoding="utf-8"?>
<table xmlns="http://schemas.openxmlformats.org/spreadsheetml/2006/main" ref="K18:N22" displayName="Table_31" name="Table_31" id="31">
  <tableColumns count="4">
    <tableColumn name="Policy Name" id="1"/>
    <tableColumn name="Premium Type" id="2"/>
    <tableColumn name="Status" id="3"/>
    <tableColumn name="Amount" id="4"/>
  </tableColumns>
  <tableStyleInfo name="August 2026-style 7" showColumnStripes="0" showFirstColumn="1" showLastColumn="1" showRowStripes="1"/>
</table>
</file>

<file path=xl/tables/table32.xml><?xml version="1.0" encoding="utf-8"?>
<table xmlns="http://schemas.openxmlformats.org/spreadsheetml/2006/main" ref="O18:O22" displayName="Table_32" name="Table_32" id="32">
  <tableColumns count="1">
    <tableColumn name="Person" id="1"/>
  </tableColumns>
  <tableStyleInfo name="August 2026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8.xml"/><Relationship Id="rId10" Type="http://schemas.openxmlformats.org/officeDocument/2006/relationships/table" Target="../tables/table17.xml"/><Relationship Id="rId13" Type="http://schemas.openxmlformats.org/officeDocument/2006/relationships/table" Target="../tables/table20.xml"/><Relationship Id="rId12" Type="http://schemas.openxmlformats.org/officeDocument/2006/relationships/table" Target="../tables/table19.xml"/><Relationship Id="rId15" Type="http://schemas.openxmlformats.org/officeDocument/2006/relationships/table" Target="../tables/table22.xml"/><Relationship Id="rId14" Type="http://schemas.openxmlformats.org/officeDocument/2006/relationships/table" Target="../tables/table21.xml"/><Relationship Id="rId17" Type="http://schemas.openxmlformats.org/officeDocument/2006/relationships/table" Target="../tables/table24.xml"/><Relationship Id="rId16" Type="http://schemas.openxmlformats.org/officeDocument/2006/relationships/table" Target="../tables/table2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26.xml"/><Relationship Id="rId10" Type="http://schemas.openxmlformats.org/officeDocument/2006/relationships/table" Target="../tables/table25.xml"/><Relationship Id="rId13" Type="http://schemas.openxmlformats.org/officeDocument/2006/relationships/table" Target="../tables/table28.xml"/><Relationship Id="rId12" Type="http://schemas.openxmlformats.org/officeDocument/2006/relationships/table" Target="../tables/table27.xml"/><Relationship Id="rId15" Type="http://schemas.openxmlformats.org/officeDocument/2006/relationships/table" Target="../tables/table30.xml"/><Relationship Id="rId14" Type="http://schemas.openxmlformats.org/officeDocument/2006/relationships/table" Target="../tables/table29.xml"/><Relationship Id="rId17" Type="http://schemas.openxmlformats.org/officeDocument/2006/relationships/table" Target="../tables/table32.xml"/><Relationship Id="rId16" Type="http://schemas.openxmlformats.org/officeDocument/2006/relationships/table" Target="../tables/table3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4" width="18.88"/>
    <col customWidth="1" min="5" max="5" width="10.13"/>
    <col customWidth="1" min="6" max="6" width="12.63"/>
    <col customWidth="1" min="7" max="7" width="31.38"/>
    <col customWidth="1" min="8" max="8" width="18.88"/>
    <col customWidth="1" min="9" max="9" width="12.63"/>
    <col customWidth="1" min="10" max="10" width="2.75"/>
    <col customWidth="1" min="11" max="14" width="15.13"/>
  </cols>
  <sheetData>
    <row r="1" ht="6.75" customHeight="1"/>
    <row r="2" ht="26.25" customHeight="1">
      <c r="B2" s="1" t="s">
        <v>0</v>
      </c>
      <c r="H2" s="2" t="s">
        <v>1</v>
      </c>
      <c r="K2" s="3" t="s">
        <v>2</v>
      </c>
      <c r="L2" s="4"/>
      <c r="M2" s="4"/>
      <c r="N2" s="4"/>
      <c r="O2" s="4"/>
    </row>
    <row r="3" ht="26.25" customHeight="1">
      <c r="H3" s="5" t="s">
        <v>3</v>
      </c>
      <c r="I3" s="6">
        <v>46266.0</v>
      </c>
      <c r="K3" s="7" t="s">
        <v>4</v>
      </c>
      <c r="L3" s="7" t="s">
        <v>5</v>
      </c>
      <c r="M3" s="7" t="s">
        <v>6</v>
      </c>
      <c r="N3" s="7" t="s">
        <v>7</v>
      </c>
      <c r="O3" s="7" t="s">
        <v>8</v>
      </c>
    </row>
    <row r="4" ht="26.25" customHeight="1">
      <c r="H4" s="8" t="s">
        <v>9</v>
      </c>
      <c r="I4" s="9">
        <v>44.0</v>
      </c>
      <c r="K4" s="10"/>
      <c r="L4" s="10"/>
      <c r="M4" s="10"/>
      <c r="N4" s="11">
        <v>0.0</v>
      </c>
      <c r="O4" s="11" t="s">
        <v>11</v>
      </c>
    </row>
    <row r="5" ht="26.25" customHeight="1">
      <c r="B5" s="2" t="s">
        <v>12</v>
      </c>
      <c r="C5" s="2" t="s">
        <v>13</v>
      </c>
      <c r="D5" s="2" t="s">
        <v>8</v>
      </c>
      <c r="E5" s="2" t="s">
        <v>14</v>
      </c>
      <c r="F5" s="2" t="s">
        <v>7</v>
      </c>
      <c r="G5" s="12" t="s">
        <v>15</v>
      </c>
      <c r="H5" s="8" t="s">
        <v>16</v>
      </c>
      <c r="I5" s="13">
        <v>399.0</v>
      </c>
      <c r="K5" s="14"/>
      <c r="L5" s="14"/>
      <c r="M5" s="14"/>
      <c r="N5" s="15"/>
      <c r="O5" s="15"/>
    </row>
    <row r="6" ht="26.25" customHeight="1">
      <c r="B6" s="16">
        <v>46266.0</v>
      </c>
      <c r="C6" s="17" t="s">
        <v>17</v>
      </c>
      <c r="D6" s="17"/>
      <c r="E6" s="18">
        <v>3.0</v>
      </c>
      <c r="F6" s="19"/>
      <c r="G6" s="20"/>
      <c r="H6" s="17" t="s">
        <v>18</v>
      </c>
      <c r="I6" s="20">
        <f>SUMIFS(E:E, C:C, "Milk - Ghosia", B:B, "&gt;="&amp;EOMONTH($I$3,-1)+1, B:B, "&lt;="&amp;EOMONTH($I$3,0))</f>
        <v>90</v>
      </c>
      <c r="K6" s="14"/>
      <c r="L6" s="14"/>
      <c r="M6" s="14"/>
      <c r="N6" s="15"/>
      <c r="O6" s="15"/>
    </row>
    <row r="7" ht="26.25" customHeight="1">
      <c r="B7" s="16">
        <v>46266.0</v>
      </c>
      <c r="C7" s="17" t="s">
        <v>19</v>
      </c>
      <c r="D7" s="17"/>
      <c r="E7" s="18">
        <v>3.0</v>
      </c>
      <c r="F7" s="19"/>
      <c r="G7" s="20"/>
      <c r="H7" s="17" t="s">
        <v>20</v>
      </c>
      <c r="I7" s="20">
        <f>SUMIFS(E:E, C:C, "Milk - Guddo", B:B, "&gt;="&amp;EOMONTH($I$3,-1)+1, B:B, "&lt;="&amp;EOMONTH($I$3,0))</f>
        <v>75</v>
      </c>
      <c r="K7" s="14"/>
      <c r="L7" s="14"/>
      <c r="M7" s="14"/>
      <c r="N7" s="15"/>
      <c r="O7" s="15"/>
    </row>
    <row r="8" ht="26.25" customHeight="1">
      <c r="B8" s="16">
        <v>46267.0</v>
      </c>
      <c r="C8" s="17" t="s">
        <v>17</v>
      </c>
      <c r="D8" s="17"/>
      <c r="E8" s="18">
        <v>3.0</v>
      </c>
      <c r="F8" s="19"/>
      <c r="G8" s="20"/>
      <c r="H8" s="17" t="s">
        <v>21</v>
      </c>
      <c r="I8" s="19">
        <f t="shared" ref="I8:I9" si="1">(I6*$I$4)+($I$5/2)</f>
        <v>4159.5</v>
      </c>
      <c r="K8" s="14"/>
      <c r="L8" s="14"/>
      <c r="M8" s="14"/>
      <c r="N8" s="15"/>
      <c r="O8" s="15"/>
    </row>
    <row r="9" ht="26.25" customHeight="1">
      <c r="B9" s="16">
        <v>46267.0</v>
      </c>
      <c r="C9" s="17" t="s">
        <v>19</v>
      </c>
      <c r="D9" s="17"/>
      <c r="E9" s="18">
        <v>3.0</v>
      </c>
      <c r="F9" s="19"/>
      <c r="G9" s="20"/>
      <c r="H9" s="17" t="s">
        <v>22</v>
      </c>
      <c r="I9" s="19">
        <f t="shared" si="1"/>
        <v>3499.5</v>
      </c>
    </row>
    <row r="10" ht="26.25" customHeight="1">
      <c r="B10" s="16">
        <v>46268.0</v>
      </c>
      <c r="C10" s="17" t="s">
        <v>17</v>
      </c>
      <c r="D10" s="17"/>
      <c r="E10" s="18">
        <v>3.0</v>
      </c>
      <c r="F10" s="19"/>
      <c r="G10" s="20"/>
      <c r="H10" s="17" t="s">
        <v>23</v>
      </c>
      <c r="I10" s="21">
        <v>60000.0</v>
      </c>
      <c r="K10" s="3" t="s">
        <v>24</v>
      </c>
      <c r="L10" s="4"/>
      <c r="M10" s="4"/>
      <c r="N10" s="4"/>
      <c r="O10" s="4"/>
    </row>
    <row r="11" ht="26.25" customHeight="1">
      <c r="B11" s="16">
        <v>46268.0</v>
      </c>
      <c r="C11" s="17" t="s">
        <v>19</v>
      </c>
      <c r="D11" s="17"/>
      <c r="E11" s="18">
        <v>3.0</v>
      </c>
      <c r="F11" s="19"/>
      <c r="G11" s="20"/>
      <c r="H11" s="22" t="s">
        <v>5</v>
      </c>
      <c r="I11" s="23">
        <f>SUMPRODUCT((M4:M8&lt;=L4:L8)*(M4:M8&lt;&gt;"")*N4:N8)</f>
        <v>0</v>
      </c>
      <c r="K11" s="7" t="s">
        <v>25</v>
      </c>
      <c r="L11" s="7" t="s">
        <v>26</v>
      </c>
      <c r="M11" s="7" t="s">
        <v>27</v>
      </c>
      <c r="N11" s="7" t="s">
        <v>7</v>
      </c>
      <c r="O11" s="7" t="s">
        <v>8</v>
      </c>
    </row>
    <row r="12" ht="26.25" customHeight="1">
      <c r="B12" s="16">
        <v>46269.0</v>
      </c>
      <c r="C12" s="17" t="s">
        <v>17</v>
      </c>
      <c r="D12" s="17"/>
      <c r="E12" s="18">
        <v>3.0</v>
      </c>
      <c r="F12" s="19"/>
      <c r="G12" s="20"/>
      <c r="H12" s="22" t="s">
        <v>28</v>
      </c>
      <c r="I12" s="23">
        <f>SUMIFS(F:F, C:C, "Groceries", B:B, "&gt;="&amp;EOMONTH($I$3,-1)+1, B:B, "&lt;="&amp;EOMONTH($I$3,0))</f>
        <v>0</v>
      </c>
      <c r="K12" s="14"/>
      <c r="L12" s="14"/>
      <c r="M12" s="10" t="s">
        <v>29</v>
      </c>
      <c r="N12" s="11">
        <v>11800.0</v>
      </c>
      <c r="O12" s="11" t="s">
        <v>11</v>
      </c>
    </row>
    <row r="13" ht="26.25" customHeight="1">
      <c r="B13" s="16">
        <v>46269.0</v>
      </c>
      <c r="C13" s="17" t="s">
        <v>19</v>
      </c>
      <c r="D13" s="17"/>
      <c r="E13" s="18">
        <v>0.0</v>
      </c>
      <c r="F13" s="19"/>
      <c r="G13" s="20"/>
      <c r="H13" s="22" t="s">
        <v>30</v>
      </c>
      <c r="I13" s="24">
        <f>I8+I14+SUMPRODUCT((M4:M8&lt;=L4:L8)*(O4:O8="Ghosia")*N4:N8)+SUMIFS(N12:N15,O12:O15,"Ghosia")+SUMIFS(N19:N22,O19:O22,"Ghosia")</f>
        <v>34959.5</v>
      </c>
      <c r="K13" s="14"/>
      <c r="L13" s="14"/>
      <c r="M13" s="14"/>
      <c r="N13" s="15"/>
      <c r="O13" s="15"/>
    </row>
    <row r="14" ht="26.25" customHeight="1">
      <c r="B14" s="16">
        <v>46270.0</v>
      </c>
      <c r="C14" s="17" t="s">
        <v>17</v>
      </c>
      <c r="D14" s="17"/>
      <c r="E14" s="18">
        <v>3.0</v>
      </c>
      <c r="F14" s="19"/>
      <c r="G14" s="20"/>
      <c r="H14" s="22" t="s">
        <v>31</v>
      </c>
      <c r="I14" s="25">
        <f>SUMIFS(F:F, D:D, "Ghosia", C:C, "&lt;&gt;Groceries", C:C, "&lt;&gt;*Milk*", B:B, "&gt;="&amp;EOMONTH($I$3,-1)+1, B:B, "&lt;="&amp;EOMONTH($I$3,0))</f>
        <v>0</v>
      </c>
      <c r="K14" s="14"/>
      <c r="L14" s="14"/>
      <c r="M14" s="14"/>
      <c r="N14" s="15"/>
      <c r="O14" s="15"/>
    </row>
    <row r="15" ht="26.25" customHeight="1">
      <c r="B15" s="16">
        <v>46270.0</v>
      </c>
      <c r="C15" s="17" t="s">
        <v>19</v>
      </c>
      <c r="D15" s="17"/>
      <c r="E15" s="18">
        <v>3.0</v>
      </c>
      <c r="F15" s="19"/>
      <c r="G15" s="20"/>
      <c r="H15" s="22" t="s">
        <v>32</v>
      </c>
      <c r="I15" s="25">
        <f>SUMIFS(F:F, D:D, "Guddo", C:C, "&lt;&gt;Groceries", C:C, "&lt;&gt;*Milk*", B:B, "&gt;="&amp;EOMONTH($I$3,-1)+1, B:B, "&lt;="&amp;EOMONTH($I$3,0))</f>
        <v>0</v>
      </c>
      <c r="K15" s="14"/>
      <c r="L15" s="14"/>
      <c r="M15" s="14"/>
      <c r="N15" s="15"/>
      <c r="O15" s="15"/>
    </row>
    <row r="16" ht="26.25" customHeight="1">
      <c r="B16" s="16">
        <v>46271.0</v>
      </c>
      <c r="C16" s="17" t="s">
        <v>17</v>
      </c>
      <c r="D16" s="17"/>
      <c r="E16" s="18">
        <v>3.0</v>
      </c>
      <c r="F16" s="19"/>
      <c r="G16" s="20"/>
      <c r="H16" s="22" t="s">
        <v>33</v>
      </c>
      <c r="I16" s="24">
        <f>I10-I13</f>
        <v>25040.5</v>
      </c>
    </row>
    <row r="17" ht="26.25" customHeight="1">
      <c r="B17" s="16">
        <v>46271.0</v>
      </c>
      <c r="C17" s="17" t="s">
        <v>19</v>
      </c>
      <c r="D17" s="17"/>
      <c r="E17" s="18">
        <v>3.0</v>
      </c>
      <c r="F17" s="19"/>
      <c r="G17" s="20"/>
      <c r="H17" s="22" t="s">
        <v>34</v>
      </c>
      <c r="I17" s="24">
        <f>I9+I15</f>
        <v>3499.5</v>
      </c>
      <c r="K17" s="3" t="s">
        <v>35</v>
      </c>
      <c r="L17" s="4"/>
      <c r="M17" s="4"/>
      <c r="N17" s="4"/>
      <c r="O17" s="4"/>
    </row>
    <row r="18" ht="26.25" customHeight="1">
      <c r="B18" s="16">
        <v>46272.0</v>
      </c>
      <c r="C18" s="17" t="s">
        <v>17</v>
      </c>
      <c r="D18" s="17"/>
      <c r="E18" s="18">
        <v>3.0</v>
      </c>
      <c r="F18" s="19"/>
      <c r="G18" s="20"/>
      <c r="K18" s="7" t="s">
        <v>36</v>
      </c>
      <c r="L18" s="7" t="s">
        <v>37</v>
      </c>
      <c r="M18" s="7" t="s">
        <v>27</v>
      </c>
      <c r="N18" s="7" t="s">
        <v>7</v>
      </c>
      <c r="O18" s="7" t="s">
        <v>8</v>
      </c>
    </row>
    <row r="19" ht="26.25" customHeight="1">
      <c r="B19" s="16">
        <v>46272.0</v>
      </c>
      <c r="C19" s="17" t="s">
        <v>19</v>
      </c>
      <c r="D19" s="17"/>
      <c r="E19" s="18">
        <v>3.0</v>
      </c>
      <c r="F19" s="19"/>
      <c r="G19" s="20"/>
      <c r="K19" s="10" t="s">
        <v>38</v>
      </c>
      <c r="L19" s="10" t="s">
        <v>39</v>
      </c>
      <c r="M19" s="10" t="s">
        <v>40</v>
      </c>
      <c r="N19" s="11">
        <v>19000.0</v>
      </c>
      <c r="O19" s="11" t="s">
        <v>11</v>
      </c>
    </row>
    <row r="20" ht="26.25" customHeight="1">
      <c r="B20" s="16">
        <v>46273.0</v>
      </c>
      <c r="C20" s="17" t="s">
        <v>17</v>
      </c>
      <c r="D20" s="17"/>
      <c r="E20" s="18">
        <v>3.0</v>
      </c>
      <c r="F20" s="19"/>
      <c r="G20" s="20"/>
      <c r="K20" s="14"/>
      <c r="L20" s="14"/>
      <c r="M20" s="14"/>
      <c r="N20" s="15"/>
      <c r="O20" s="15"/>
    </row>
    <row r="21" ht="26.25" customHeight="1">
      <c r="B21" s="16">
        <v>46273.0</v>
      </c>
      <c r="C21" s="17" t="s">
        <v>19</v>
      </c>
      <c r="D21" s="17"/>
      <c r="E21" s="18">
        <v>3.0</v>
      </c>
      <c r="F21" s="19"/>
      <c r="G21" s="20"/>
      <c r="K21" s="14"/>
      <c r="L21" s="14"/>
      <c r="M21" s="14"/>
      <c r="N21" s="15"/>
      <c r="O21" s="15"/>
    </row>
    <row r="22" ht="26.25" customHeight="1">
      <c r="B22" s="16">
        <v>46274.0</v>
      </c>
      <c r="C22" s="17" t="s">
        <v>17</v>
      </c>
      <c r="D22" s="17"/>
      <c r="E22" s="18">
        <v>3.0</v>
      </c>
      <c r="F22" s="19"/>
      <c r="G22" s="20"/>
      <c r="K22" s="14"/>
      <c r="L22" s="14"/>
      <c r="M22" s="14"/>
      <c r="N22" s="15"/>
      <c r="O22" s="15"/>
    </row>
    <row r="23" ht="26.25" customHeight="1">
      <c r="B23" s="16">
        <v>46274.0</v>
      </c>
      <c r="C23" s="17" t="s">
        <v>19</v>
      </c>
      <c r="D23" s="17"/>
      <c r="E23" s="18">
        <v>3.0</v>
      </c>
      <c r="F23" s="19"/>
      <c r="G23" s="20"/>
    </row>
    <row r="24" ht="26.25" customHeight="1">
      <c r="B24" s="16">
        <v>46275.0</v>
      </c>
      <c r="C24" s="17" t="s">
        <v>17</v>
      </c>
      <c r="D24" s="17"/>
      <c r="E24" s="18">
        <v>3.0</v>
      </c>
      <c r="F24" s="19"/>
      <c r="G24" s="20"/>
    </row>
    <row r="25" ht="26.25" customHeight="1">
      <c r="B25" s="16">
        <v>46275.0</v>
      </c>
      <c r="C25" s="17" t="s">
        <v>19</v>
      </c>
      <c r="D25" s="17"/>
      <c r="E25" s="18">
        <v>3.0</v>
      </c>
      <c r="F25" s="19"/>
      <c r="G25" s="20"/>
      <c r="H25" s="26" t="s">
        <v>41</v>
      </c>
      <c r="I25" s="23" t="s">
        <v>42</v>
      </c>
    </row>
    <row r="26" ht="26.25" customHeight="1">
      <c r="B26" s="16">
        <v>46276.0</v>
      </c>
      <c r="C26" s="17" t="s">
        <v>17</v>
      </c>
      <c r="D26" s="17"/>
      <c r="E26" s="18">
        <v>3.0</v>
      </c>
      <c r="F26" s="19"/>
      <c r="G26" s="20"/>
      <c r="H26" s="27" t="s">
        <v>12</v>
      </c>
      <c r="I26" s="27" t="s">
        <v>13</v>
      </c>
      <c r="J26" s="27" t="s">
        <v>8</v>
      </c>
      <c r="K26" s="27" t="s">
        <v>14</v>
      </c>
      <c r="L26" s="27" t="s">
        <v>7</v>
      </c>
      <c r="M26" s="27" t="s">
        <v>15</v>
      </c>
    </row>
    <row r="27" ht="26.25" customHeight="1">
      <c r="B27" s="16">
        <v>46276.0</v>
      </c>
      <c r="C27" s="17" t="s">
        <v>19</v>
      </c>
      <c r="D27" s="17"/>
      <c r="E27" s="18">
        <v>0.0</v>
      </c>
      <c r="F27" s="19"/>
      <c r="G27" s="20"/>
      <c r="H27" s="28" t="str">
        <f>IFERROR(__xludf.DUMMYFUNCTION("IFERROR(FILTER(B6:G879, C6:C879=I25), ""No expenses found for this category."")"),"")</f>
        <v/>
      </c>
      <c r="I27" s="23" t="str">
        <f>IFERROR(__xludf.DUMMYFUNCTION("""COMPUTED_VALUE"""),"Misc Expense")</f>
        <v>Misc Expense</v>
      </c>
      <c r="J27" s="23" t="str">
        <f>IFERROR(__xludf.DUMMYFUNCTION("""COMPUTED_VALUE"""),"Ghosia")</f>
        <v>Ghosia</v>
      </c>
      <c r="K27" s="23"/>
      <c r="L27" s="24">
        <f>IFERROR(__xludf.DUMMYFUNCTION("""COMPUTED_VALUE"""),950.0)</f>
        <v>950</v>
      </c>
      <c r="M27" s="23" t="str">
        <f>IFERROR(__xludf.DUMMYFUNCTION("""COMPUTED_VALUE"""),"cylinder")</f>
        <v>cylinder</v>
      </c>
    </row>
    <row r="28" ht="26.25" customHeight="1">
      <c r="B28" s="16">
        <v>46277.0</v>
      </c>
      <c r="C28" s="17" t="s">
        <v>17</v>
      </c>
      <c r="D28" s="17"/>
      <c r="E28" s="18">
        <v>3.0</v>
      </c>
      <c r="F28" s="19"/>
      <c r="G28" s="20"/>
      <c r="H28" s="28"/>
      <c r="I28" s="23" t="str">
        <f>IFERROR(__xludf.DUMMYFUNCTION("""COMPUTED_VALUE"""),"Misc Expense")</f>
        <v>Misc Expense</v>
      </c>
      <c r="J28" s="23" t="str">
        <f>IFERROR(__xludf.DUMMYFUNCTION("""COMPUTED_VALUE"""),"Ghosia")</f>
        <v>Ghosia</v>
      </c>
      <c r="K28" s="23"/>
      <c r="L28" s="24"/>
      <c r="M28" s="23" t="str">
        <f>IFERROR(__xludf.DUMMYFUNCTION("""COMPUTED_VALUE"""),"canteen")</f>
        <v>canteen</v>
      </c>
    </row>
    <row r="29" ht="26.25" customHeight="1">
      <c r="B29" s="16">
        <v>46277.0</v>
      </c>
      <c r="C29" s="17" t="s">
        <v>19</v>
      </c>
      <c r="D29" s="17"/>
      <c r="E29" s="18">
        <v>3.0</v>
      </c>
      <c r="F29" s="19"/>
      <c r="G29" s="20"/>
      <c r="H29" s="28"/>
      <c r="I29" s="23" t="str">
        <f>IFERROR(__xludf.DUMMYFUNCTION("""COMPUTED_VALUE"""),"Misc Expense")</f>
        <v>Misc Expense</v>
      </c>
      <c r="J29" s="23" t="str">
        <f>IFERROR(__xludf.DUMMYFUNCTION("""COMPUTED_VALUE"""),"Ghosia")</f>
        <v>Ghosia</v>
      </c>
      <c r="K29" s="23"/>
      <c r="L29" s="24">
        <f>IFERROR(__xludf.DUMMYFUNCTION("""COMPUTED_VALUE"""),2900.0)</f>
        <v>2900</v>
      </c>
      <c r="M29" s="23" t="str">
        <f>IFERROR(__xludf.DUMMYFUNCTION("""COMPUTED_VALUE"""),"Eectrician+papaya+Taymur game")</f>
        <v>Eectrician+papaya+Taymur game</v>
      </c>
    </row>
    <row r="30" ht="26.25" customHeight="1">
      <c r="B30" s="16">
        <v>46278.0</v>
      </c>
      <c r="C30" s="17" t="s">
        <v>17</v>
      </c>
      <c r="D30" s="17"/>
      <c r="E30" s="18">
        <v>3.0</v>
      </c>
      <c r="F30" s="19"/>
      <c r="G30" s="20"/>
      <c r="H30" s="28"/>
      <c r="L30" s="24"/>
    </row>
    <row r="31" ht="26.25" customHeight="1">
      <c r="B31" s="16">
        <v>46278.0</v>
      </c>
      <c r="C31" s="17" t="s">
        <v>19</v>
      </c>
      <c r="D31" s="17"/>
      <c r="E31" s="18">
        <v>0.0</v>
      </c>
      <c r="F31" s="19"/>
      <c r="G31" s="20"/>
      <c r="H31" s="28"/>
      <c r="L31" s="24"/>
    </row>
    <row r="32" ht="26.25" customHeight="1">
      <c r="B32" s="16">
        <v>46279.0</v>
      </c>
      <c r="C32" s="17" t="s">
        <v>17</v>
      </c>
      <c r="D32" s="17"/>
      <c r="E32" s="18">
        <v>3.0</v>
      </c>
      <c r="F32" s="19"/>
      <c r="G32" s="20"/>
      <c r="H32" s="28"/>
      <c r="L32" s="24"/>
    </row>
    <row r="33" ht="26.25" customHeight="1">
      <c r="B33" s="16">
        <v>46279.0</v>
      </c>
      <c r="C33" s="17" t="s">
        <v>19</v>
      </c>
      <c r="D33" s="17"/>
      <c r="E33" s="18">
        <v>3.0</v>
      </c>
      <c r="F33" s="19"/>
      <c r="G33" s="20"/>
      <c r="H33" s="28"/>
      <c r="L33" s="24"/>
    </row>
    <row r="34" ht="26.25" customHeight="1">
      <c r="B34" s="16">
        <v>46280.0</v>
      </c>
      <c r="C34" s="17" t="s">
        <v>17</v>
      </c>
      <c r="D34" s="17"/>
      <c r="E34" s="18">
        <v>3.0</v>
      </c>
      <c r="F34" s="19"/>
      <c r="G34" s="20"/>
      <c r="H34" s="28"/>
      <c r="L34" s="24"/>
    </row>
    <row r="35" ht="26.25" customHeight="1">
      <c r="B35" s="16">
        <v>46280.0</v>
      </c>
      <c r="C35" s="17" t="s">
        <v>19</v>
      </c>
      <c r="D35" s="17"/>
      <c r="E35" s="18">
        <v>3.0</v>
      </c>
      <c r="F35" s="19"/>
      <c r="G35" s="20"/>
      <c r="H35" s="28"/>
      <c r="L35" s="24"/>
    </row>
    <row r="36" ht="26.25" customHeight="1">
      <c r="B36" s="16">
        <v>46281.0</v>
      </c>
      <c r="C36" s="17" t="s">
        <v>17</v>
      </c>
      <c r="D36" s="17"/>
      <c r="E36" s="18">
        <v>3.0</v>
      </c>
      <c r="F36" s="19"/>
      <c r="G36" s="20"/>
      <c r="H36" s="28"/>
      <c r="L36" s="24"/>
    </row>
    <row r="37" ht="26.25" customHeight="1">
      <c r="B37" s="16">
        <v>46281.0</v>
      </c>
      <c r="C37" s="17" t="s">
        <v>19</v>
      </c>
      <c r="D37" s="17"/>
      <c r="E37" s="18">
        <v>3.0</v>
      </c>
      <c r="F37" s="19"/>
      <c r="G37" s="20"/>
      <c r="H37" s="28"/>
      <c r="L37" s="24"/>
    </row>
    <row r="38" ht="26.25" customHeight="1">
      <c r="B38" s="16">
        <v>46282.0</v>
      </c>
      <c r="C38" s="17" t="s">
        <v>17</v>
      </c>
      <c r="D38" s="17"/>
      <c r="E38" s="18">
        <v>3.0</v>
      </c>
      <c r="F38" s="19"/>
      <c r="G38" s="20"/>
      <c r="H38" s="28"/>
      <c r="L38" s="24"/>
    </row>
    <row r="39" ht="26.25" customHeight="1">
      <c r="B39" s="16">
        <v>46282.0</v>
      </c>
      <c r="C39" s="17" t="s">
        <v>19</v>
      </c>
      <c r="D39" s="17"/>
      <c r="E39" s="18">
        <v>3.0</v>
      </c>
      <c r="F39" s="19"/>
      <c r="G39" s="20"/>
      <c r="H39" s="28"/>
      <c r="L39" s="24"/>
    </row>
    <row r="40" ht="26.25" customHeight="1">
      <c r="B40" s="16">
        <v>46283.0</v>
      </c>
      <c r="C40" s="17" t="s">
        <v>17</v>
      </c>
      <c r="D40" s="17"/>
      <c r="E40" s="18">
        <v>3.0</v>
      </c>
      <c r="F40" s="19"/>
      <c r="G40" s="20"/>
      <c r="H40" s="28"/>
      <c r="L40" s="24"/>
    </row>
    <row r="41" ht="26.25" customHeight="1">
      <c r="B41" s="16">
        <v>46283.0</v>
      </c>
      <c r="C41" s="17" t="s">
        <v>19</v>
      </c>
      <c r="D41" s="17"/>
      <c r="E41" s="18">
        <v>3.0</v>
      </c>
      <c r="F41" s="19"/>
      <c r="G41" s="20"/>
      <c r="H41" s="28"/>
      <c r="L41" s="24"/>
    </row>
    <row r="42" ht="26.25" customHeight="1">
      <c r="B42" s="16">
        <v>46284.0</v>
      </c>
      <c r="C42" s="17" t="s">
        <v>17</v>
      </c>
      <c r="D42" s="17"/>
      <c r="E42" s="18">
        <v>3.0</v>
      </c>
      <c r="F42" s="19"/>
      <c r="G42" s="20"/>
      <c r="H42" s="28"/>
      <c r="L42" s="24"/>
    </row>
    <row r="43" ht="26.25" customHeight="1">
      <c r="B43" s="16">
        <v>46284.0</v>
      </c>
      <c r="C43" s="17" t="s">
        <v>19</v>
      </c>
      <c r="D43" s="17"/>
      <c r="E43" s="18">
        <v>3.0</v>
      </c>
      <c r="F43" s="19"/>
      <c r="G43" s="20"/>
      <c r="H43" s="28"/>
      <c r="L43" s="24"/>
    </row>
    <row r="44" ht="26.25" customHeight="1">
      <c r="B44" s="16">
        <v>46285.0</v>
      </c>
      <c r="C44" s="17" t="s">
        <v>17</v>
      </c>
      <c r="D44" s="17"/>
      <c r="E44" s="18">
        <v>3.0</v>
      </c>
      <c r="F44" s="19"/>
      <c r="G44" s="20"/>
      <c r="H44" s="28"/>
      <c r="L44" s="24"/>
    </row>
    <row r="45" ht="26.25" customHeight="1">
      <c r="B45" s="16">
        <v>46285.0</v>
      </c>
      <c r="C45" s="17" t="s">
        <v>19</v>
      </c>
      <c r="D45" s="17"/>
      <c r="E45" s="18">
        <v>3.0</v>
      </c>
      <c r="F45" s="19"/>
      <c r="G45" s="20"/>
      <c r="H45" s="28"/>
      <c r="L45" s="24"/>
    </row>
    <row r="46" ht="26.25" customHeight="1">
      <c r="B46" s="16">
        <v>46286.0</v>
      </c>
      <c r="C46" s="17" t="s">
        <v>17</v>
      </c>
      <c r="D46" s="17"/>
      <c r="E46" s="18">
        <v>3.0</v>
      </c>
      <c r="F46" s="19"/>
      <c r="G46" s="20"/>
      <c r="H46" s="28"/>
      <c r="L46" s="24"/>
    </row>
    <row r="47" ht="26.25" customHeight="1">
      <c r="B47" s="16">
        <v>46286.0</v>
      </c>
      <c r="C47" s="17" t="s">
        <v>19</v>
      </c>
      <c r="D47" s="17"/>
      <c r="E47" s="18">
        <v>0.0</v>
      </c>
      <c r="F47" s="19"/>
      <c r="G47" s="20"/>
      <c r="H47" s="28"/>
      <c r="L47" s="24"/>
    </row>
    <row r="48" ht="26.25" customHeight="1">
      <c r="B48" s="16">
        <v>46287.0</v>
      </c>
      <c r="C48" s="17" t="s">
        <v>17</v>
      </c>
      <c r="D48" s="17"/>
      <c r="E48" s="18">
        <v>3.0</v>
      </c>
      <c r="F48" s="19"/>
      <c r="G48" s="20"/>
      <c r="H48" s="28"/>
      <c r="L48" s="24"/>
    </row>
    <row r="49" ht="26.25" customHeight="1">
      <c r="B49" s="16">
        <v>46287.0</v>
      </c>
      <c r="C49" s="17" t="s">
        <v>19</v>
      </c>
      <c r="D49" s="17"/>
      <c r="E49" s="18">
        <v>3.0</v>
      </c>
      <c r="F49" s="19"/>
      <c r="G49" s="20"/>
      <c r="H49" s="28"/>
      <c r="L49" s="24"/>
    </row>
    <row r="50" ht="26.25" customHeight="1">
      <c r="B50" s="16">
        <v>46288.0</v>
      </c>
      <c r="C50" s="17" t="s">
        <v>17</v>
      </c>
      <c r="D50" s="17"/>
      <c r="E50" s="18">
        <v>3.0</v>
      </c>
      <c r="F50" s="19"/>
      <c r="G50" s="20"/>
      <c r="H50" s="28"/>
      <c r="L50" s="24"/>
    </row>
    <row r="51" ht="26.25" customHeight="1">
      <c r="B51" s="16">
        <v>46288.0</v>
      </c>
      <c r="C51" s="17" t="s">
        <v>19</v>
      </c>
      <c r="D51" s="17"/>
      <c r="E51" s="18">
        <v>3.0</v>
      </c>
      <c r="F51" s="19"/>
      <c r="G51" s="20"/>
      <c r="H51" s="28"/>
      <c r="L51" s="24"/>
    </row>
    <row r="52" ht="26.25" customHeight="1">
      <c r="B52" s="16">
        <v>46289.0</v>
      </c>
      <c r="C52" s="17" t="s">
        <v>17</v>
      </c>
      <c r="D52" s="17"/>
      <c r="E52" s="18">
        <v>3.0</v>
      </c>
      <c r="F52" s="19"/>
      <c r="G52" s="20"/>
      <c r="H52" s="28"/>
      <c r="L52" s="24"/>
    </row>
    <row r="53" ht="26.25" customHeight="1">
      <c r="B53" s="16">
        <v>46289.0</v>
      </c>
      <c r="C53" s="17" t="s">
        <v>19</v>
      </c>
      <c r="D53" s="17"/>
      <c r="E53" s="18">
        <v>3.0</v>
      </c>
      <c r="F53" s="19"/>
      <c r="G53" s="20"/>
      <c r="H53" s="28"/>
      <c r="L53" s="24"/>
    </row>
    <row r="54" ht="26.25" customHeight="1">
      <c r="B54" s="16">
        <v>46290.0</v>
      </c>
      <c r="C54" s="17" t="s">
        <v>17</v>
      </c>
      <c r="D54" s="17"/>
      <c r="E54" s="18">
        <v>3.0</v>
      </c>
      <c r="F54" s="19"/>
      <c r="G54" s="20"/>
      <c r="H54" s="28"/>
      <c r="L54" s="24"/>
    </row>
    <row r="55" ht="26.25" customHeight="1">
      <c r="B55" s="16">
        <v>46290.0</v>
      </c>
      <c r="C55" s="17" t="s">
        <v>19</v>
      </c>
      <c r="D55" s="17"/>
      <c r="E55" s="18">
        <v>3.0</v>
      </c>
      <c r="F55" s="19"/>
      <c r="G55" s="20"/>
      <c r="H55" s="28"/>
      <c r="L55" s="24"/>
    </row>
    <row r="56" ht="26.25" customHeight="1">
      <c r="B56" s="16">
        <v>46291.0</v>
      </c>
      <c r="C56" s="17" t="s">
        <v>17</v>
      </c>
      <c r="D56" s="17"/>
      <c r="E56" s="18">
        <v>3.0</v>
      </c>
      <c r="F56" s="19"/>
      <c r="G56" s="20"/>
      <c r="H56" s="28"/>
      <c r="L56" s="24"/>
    </row>
    <row r="57" ht="26.25" customHeight="1">
      <c r="B57" s="16">
        <v>46291.0</v>
      </c>
      <c r="C57" s="17" t="s">
        <v>19</v>
      </c>
      <c r="D57" s="17"/>
      <c r="E57" s="18">
        <v>3.0</v>
      </c>
      <c r="F57" s="19"/>
      <c r="G57" s="20"/>
      <c r="H57" s="28"/>
      <c r="L57" s="24"/>
    </row>
    <row r="58" ht="26.25" customHeight="1">
      <c r="B58" s="16">
        <v>46292.0</v>
      </c>
      <c r="C58" s="17" t="s">
        <v>17</v>
      </c>
      <c r="D58" s="17"/>
      <c r="E58" s="18">
        <v>3.0</v>
      </c>
      <c r="F58" s="19"/>
      <c r="G58" s="20"/>
      <c r="H58" s="28"/>
      <c r="L58" s="24"/>
    </row>
    <row r="59" ht="26.25" customHeight="1">
      <c r="B59" s="16">
        <v>46292.0</v>
      </c>
      <c r="C59" s="17" t="s">
        <v>19</v>
      </c>
      <c r="D59" s="17"/>
      <c r="E59" s="18">
        <v>3.0</v>
      </c>
      <c r="F59" s="19"/>
      <c r="G59" s="20"/>
      <c r="H59" s="28"/>
      <c r="L59" s="24"/>
    </row>
    <row r="60" ht="26.25" customHeight="1">
      <c r="B60" s="16">
        <v>46293.0</v>
      </c>
      <c r="C60" s="17" t="s">
        <v>17</v>
      </c>
      <c r="D60" s="17"/>
      <c r="E60" s="18">
        <v>3.0</v>
      </c>
      <c r="F60" s="19"/>
      <c r="G60" s="20"/>
      <c r="H60" s="28"/>
      <c r="L60" s="24"/>
    </row>
    <row r="61" ht="26.25" customHeight="1">
      <c r="B61" s="16">
        <v>46293.0</v>
      </c>
      <c r="C61" s="17" t="s">
        <v>19</v>
      </c>
      <c r="D61" s="17"/>
      <c r="E61" s="18">
        <v>0.0</v>
      </c>
      <c r="F61" s="19"/>
      <c r="G61" s="20"/>
      <c r="H61" s="28"/>
      <c r="L61" s="24"/>
    </row>
    <row r="62" ht="26.25" customHeight="1">
      <c r="B62" s="16">
        <v>46294.0</v>
      </c>
      <c r="C62" s="17" t="s">
        <v>17</v>
      </c>
      <c r="D62" s="17"/>
      <c r="E62" s="18">
        <v>3.0</v>
      </c>
      <c r="F62" s="19"/>
      <c r="G62" s="20"/>
      <c r="H62" s="28"/>
      <c r="L62" s="24"/>
    </row>
    <row r="63" ht="26.25" customHeight="1">
      <c r="B63" s="16">
        <v>46294.0</v>
      </c>
      <c r="C63" s="17" t="s">
        <v>19</v>
      </c>
      <c r="D63" s="17"/>
      <c r="E63" s="18">
        <v>3.0</v>
      </c>
      <c r="F63" s="19"/>
      <c r="G63" s="20"/>
      <c r="H63" s="28"/>
      <c r="L63" s="24"/>
    </row>
    <row r="64" ht="26.25" customHeight="1">
      <c r="B64" s="16">
        <v>46295.0</v>
      </c>
      <c r="C64" s="17" t="s">
        <v>17</v>
      </c>
      <c r="D64" s="17"/>
      <c r="E64" s="18">
        <v>3.0</v>
      </c>
      <c r="F64" s="19"/>
      <c r="G64" s="20"/>
      <c r="H64" s="28"/>
      <c r="L64" s="24"/>
    </row>
    <row r="65" ht="26.25" customHeight="1">
      <c r="B65" s="16">
        <v>46295.0</v>
      </c>
      <c r="C65" s="17" t="s">
        <v>19</v>
      </c>
      <c r="D65" s="17"/>
      <c r="E65" s="18">
        <v>3.0</v>
      </c>
      <c r="F65" s="19"/>
      <c r="G65" s="20"/>
      <c r="H65" s="28"/>
      <c r="L65" s="24"/>
    </row>
    <row r="66" ht="26.25" customHeight="1">
      <c r="B66" s="16"/>
      <c r="C66" s="17" t="s">
        <v>42</v>
      </c>
      <c r="D66" s="17" t="s">
        <v>11</v>
      </c>
      <c r="E66" s="18"/>
      <c r="F66" s="21">
        <v>950.0</v>
      </c>
      <c r="G66" s="17" t="s">
        <v>47</v>
      </c>
      <c r="H66" s="28"/>
      <c r="L66" s="24"/>
    </row>
    <row r="67" ht="26.25" customHeight="1">
      <c r="B67" s="16"/>
      <c r="C67" s="17" t="s">
        <v>42</v>
      </c>
      <c r="D67" s="17" t="s">
        <v>11</v>
      </c>
      <c r="E67" s="18"/>
      <c r="F67" s="19"/>
      <c r="G67" s="17" t="s">
        <v>48</v>
      </c>
      <c r="H67" s="28"/>
      <c r="L67" s="24"/>
    </row>
    <row r="68" ht="26.25" customHeight="1">
      <c r="B68" s="29"/>
      <c r="C68" s="17" t="s">
        <v>42</v>
      </c>
      <c r="D68" s="17" t="s">
        <v>11</v>
      </c>
      <c r="E68" s="30"/>
      <c r="F68" s="31">
        <f>1100+1800</f>
        <v>2900</v>
      </c>
      <c r="G68" s="17" t="s">
        <v>49</v>
      </c>
      <c r="H68" s="28"/>
      <c r="L68" s="24"/>
    </row>
    <row r="69" ht="26.25" customHeight="1">
      <c r="B69" s="29"/>
      <c r="C69" s="17"/>
      <c r="D69" s="17"/>
      <c r="E69" s="30"/>
      <c r="F69" s="31"/>
      <c r="G69" s="17"/>
      <c r="H69" s="28"/>
      <c r="L69" s="24"/>
    </row>
    <row r="70" ht="26.25" customHeight="1">
      <c r="B70" s="29"/>
      <c r="C70" s="17"/>
      <c r="D70" s="17"/>
      <c r="E70" s="30"/>
      <c r="F70" s="31"/>
      <c r="G70" s="17"/>
      <c r="H70" s="28"/>
      <c r="L70" s="24"/>
    </row>
    <row r="71" ht="26.25" customHeight="1">
      <c r="B71" s="29"/>
      <c r="C71" s="17"/>
      <c r="D71" s="17"/>
      <c r="E71" s="30"/>
      <c r="F71" s="31"/>
      <c r="G71" s="17"/>
      <c r="H71" s="28"/>
      <c r="L71" s="24"/>
    </row>
    <row r="72" ht="26.25" customHeight="1">
      <c r="B72" s="29"/>
      <c r="C72" s="17"/>
      <c r="D72" s="17"/>
      <c r="E72" s="30"/>
      <c r="F72" s="31"/>
      <c r="G72" s="17"/>
      <c r="H72" s="28"/>
      <c r="L72" s="24"/>
    </row>
    <row r="73" ht="26.25" customHeight="1">
      <c r="B73" s="29"/>
      <c r="C73" s="17"/>
      <c r="D73" s="17"/>
      <c r="E73" s="30"/>
      <c r="F73" s="31"/>
      <c r="G73" s="17"/>
      <c r="H73" s="28"/>
      <c r="L73" s="24"/>
    </row>
  </sheetData>
  <mergeCells count="4">
    <mergeCell ref="H2:I2"/>
    <mergeCell ref="K2:O2"/>
    <mergeCell ref="K10:O10"/>
    <mergeCell ref="K17:O17"/>
  </mergeCells>
  <dataValidations>
    <dataValidation type="custom" allowBlank="1" sqref="I3 B6:B67">
      <formula1>OR(NOT(ISERROR(DATEVALUE(B3))), AND(ISNUMBER(B3), LEFT(CELL("format", B3))="D"))</formula1>
    </dataValidation>
    <dataValidation type="list" allowBlank="1" sqref="M12:M15">
      <formula1>"Paid,Pending"</formula1>
    </dataValidation>
    <dataValidation type="custom" allowBlank="1" showErrorMessage="1" sqref="B68:B73">
      <formula1>OR(NOT(ISERROR(DATEVALUE(B68))), AND(ISNUMBER(B68), LEFT(CELL("format", B68))="D"))</formula1>
    </dataValidation>
    <dataValidation type="list" allowBlank="1" showErrorMessage="1" sqref="O4:O8 O12:O15 O19:O22">
      <formula1>"Ghosia,Guddo"</formula1>
    </dataValidation>
    <dataValidation type="list" allowBlank="1" sqref="C6:C73">
      <formula1>"Milk - Ghosia,Milk - Guddo,Grocery - Guddo,Misc Expense,Electricity - Ghosia"</formula1>
    </dataValidation>
    <dataValidation type="list" allowBlank="1" sqref="D6:D73">
      <formula1>Settings!$A$2:$A$100</formula1>
    </dataValidation>
    <dataValidation type="list" allowBlank="1" sqref="M19:M22">
      <formula1>"Active,Pending,Lapsed"</formula1>
    </dataValidation>
    <dataValidation type="list" allowBlank="1" sqref="I25">
      <formula1>'Sept 2026'!$C$6:$C$70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4" width="18.88"/>
    <col customWidth="1" min="5" max="5" width="10.13"/>
    <col customWidth="1" min="6" max="6" width="12.63"/>
    <col customWidth="1" min="7" max="7" width="31.38"/>
    <col customWidth="1" min="8" max="8" width="18.88"/>
    <col customWidth="1" min="9" max="9" width="12.63"/>
    <col customWidth="1" min="10" max="10" width="2.75"/>
    <col customWidth="1" min="11" max="14" width="15.13"/>
  </cols>
  <sheetData>
    <row r="1" ht="6.75" customHeight="1"/>
    <row r="2" ht="26.25" customHeight="1">
      <c r="B2" s="1" t="s">
        <v>0</v>
      </c>
      <c r="H2" s="2" t="s">
        <v>1</v>
      </c>
      <c r="K2" s="3" t="s">
        <v>2</v>
      </c>
      <c r="L2" s="4"/>
      <c r="M2" s="4"/>
      <c r="N2" s="4"/>
      <c r="O2" s="4"/>
    </row>
    <row r="3" ht="26.25" customHeight="1">
      <c r="H3" s="5" t="s">
        <v>3</v>
      </c>
      <c r="I3" s="6">
        <v>46174.0</v>
      </c>
      <c r="K3" s="7" t="s">
        <v>4</v>
      </c>
      <c r="L3" s="7" t="s">
        <v>5</v>
      </c>
      <c r="M3" s="7" t="s">
        <v>6</v>
      </c>
      <c r="N3" s="7" t="s">
        <v>7</v>
      </c>
      <c r="O3" s="7" t="s">
        <v>8</v>
      </c>
    </row>
    <row r="4" ht="26.25" customHeight="1">
      <c r="H4" s="8" t="s">
        <v>9</v>
      </c>
      <c r="I4" s="9">
        <v>42.5</v>
      </c>
      <c r="K4" s="10" t="s">
        <v>10</v>
      </c>
      <c r="L4" s="10">
        <v>10.0</v>
      </c>
      <c r="M4" s="10">
        <v>10.0</v>
      </c>
      <c r="N4" s="11">
        <v>3000.0</v>
      </c>
      <c r="O4" s="11" t="s">
        <v>11</v>
      </c>
    </row>
    <row r="5" ht="26.25" customHeight="1">
      <c r="B5" s="2" t="s">
        <v>12</v>
      </c>
      <c r="C5" s="2" t="s">
        <v>13</v>
      </c>
      <c r="D5" s="2" t="s">
        <v>8</v>
      </c>
      <c r="E5" s="2" t="s">
        <v>14</v>
      </c>
      <c r="F5" s="2" t="s">
        <v>7</v>
      </c>
      <c r="G5" s="12" t="s">
        <v>15</v>
      </c>
      <c r="H5" s="8" t="s">
        <v>16</v>
      </c>
      <c r="I5" s="13">
        <v>399.0</v>
      </c>
      <c r="K5" s="14"/>
      <c r="L5" s="14"/>
      <c r="M5" s="14"/>
      <c r="N5" s="15"/>
      <c r="O5" s="15"/>
    </row>
    <row r="6" ht="26.25" customHeight="1">
      <c r="B6" s="16">
        <v>46174.0</v>
      </c>
      <c r="C6" s="17" t="s">
        <v>17</v>
      </c>
      <c r="D6" s="17"/>
      <c r="E6" s="18">
        <v>0.0</v>
      </c>
      <c r="F6" s="19"/>
      <c r="G6" s="20"/>
      <c r="H6" s="17" t="s">
        <v>18</v>
      </c>
      <c r="I6" s="20">
        <f>SUMIFS(E:E, C:C, "Milk - Ghosia", B:B, "&gt;="&amp;EOMONTH($I$3,-1)+1, B:B, "&lt;="&amp;EOMONTH($I$3,0))</f>
        <v>81</v>
      </c>
      <c r="K6" s="14"/>
      <c r="L6" s="14"/>
      <c r="M6" s="14"/>
      <c r="N6" s="15"/>
      <c r="O6" s="15"/>
    </row>
    <row r="7" ht="26.25" customHeight="1">
      <c r="B7" s="16">
        <v>46174.0</v>
      </c>
      <c r="C7" s="17" t="s">
        <v>19</v>
      </c>
      <c r="D7" s="17"/>
      <c r="E7" s="18">
        <v>0.0</v>
      </c>
      <c r="F7" s="19"/>
      <c r="G7" s="20"/>
      <c r="H7" s="17" t="s">
        <v>20</v>
      </c>
      <c r="I7" s="20">
        <f>SUMIFS(E:E, C:C, "Milk - Guddo", B:B, "&gt;="&amp;EOMONTH($I$3,-1)+1, B:B, "&lt;="&amp;EOMONTH($I$3,0))</f>
        <v>63</v>
      </c>
      <c r="K7" s="14"/>
      <c r="L7" s="14"/>
      <c r="M7" s="14"/>
      <c r="N7" s="15"/>
      <c r="O7" s="15"/>
    </row>
    <row r="8" ht="26.25" customHeight="1">
      <c r="B8" s="16">
        <v>46175.0</v>
      </c>
      <c r="C8" s="17" t="s">
        <v>17</v>
      </c>
      <c r="D8" s="17"/>
      <c r="E8" s="18">
        <v>0.0</v>
      </c>
      <c r="F8" s="19"/>
      <c r="G8" s="20"/>
      <c r="H8" s="17" t="s">
        <v>21</v>
      </c>
      <c r="I8" s="19">
        <f t="shared" ref="I8:I9" si="1">(I6*$I$4)+($I$5/2)</f>
        <v>3642</v>
      </c>
      <c r="K8" s="14"/>
      <c r="L8" s="14"/>
      <c r="M8" s="14"/>
      <c r="N8" s="15"/>
      <c r="O8" s="15"/>
    </row>
    <row r="9" ht="26.25" customHeight="1">
      <c r="B9" s="16">
        <v>46175.0</v>
      </c>
      <c r="C9" s="17" t="s">
        <v>19</v>
      </c>
      <c r="D9" s="17"/>
      <c r="E9" s="18">
        <v>0.0</v>
      </c>
      <c r="F9" s="19"/>
      <c r="G9" s="20"/>
      <c r="H9" s="17" t="s">
        <v>22</v>
      </c>
      <c r="I9" s="19">
        <f t="shared" si="1"/>
        <v>2877</v>
      </c>
    </row>
    <row r="10" ht="26.25" customHeight="1">
      <c r="B10" s="16">
        <v>46176.0</v>
      </c>
      <c r="C10" s="17" t="s">
        <v>17</v>
      </c>
      <c r="D10" s="17"/>
      <c r="E10" s="18">
        <v>0.0</v>
      </c>
      <c r="F10" s="19"/>
      <c r="G10" s="20"/>
      <c r="H10" s="17" t="s">
        <v>23</v>
      </c>
      <c r="I10" s="21">
        <v>60000.0</v>
      </c>
      <c r="K10" s="3" t="s">
        <v>24</v>
      </c>
      <c r="L10" s="4"/>
      <c r="M10" s="4"/>
      <c r="N10" s="4"/>
      <c r="O10" s="4"/>
    </row>
    <row r="11" ht="26.25" customHeight="1">
      <c r="B11" s="16">
        <v>46176.0</v>
      </c>
      <c r="C11" s="17" t="s">
        <v>19</v>
      </c>
      <c r="D11" s="17"/>
      <c r="E11" s="18">
        <v>0.0</v>
      </c>
      <c r="F11" s="19"/>
      <c r="G11" s="20"/>
      <c r="H11" s="22" t="s">
        <v>5</v>
      </c>
      <c r="I11" s="23">
        <f>SUMPRODUCT((M4:M8&lt;=L4:L8)*(M4:M8&lt;&gt;"")*N4:N8)</f>
        <v>3000</v>
      </c>
      <c r="K11" s="7" t="s">
        <v>25</v>
      </c>
      <c r="L11" s="7" t="s">
        <v>26</v>
      </c>
      <c r="M11" s="7" t="s">
        <v>27</v>
      </c>
      <c r="N11" s="7" t="s">
        <v>7</v>
      </c>
      <c r="O11" s="7" t="s">
        <v>8</v>
      </c>
    </row>
    <row r="12" ht="26.25" customHeight="1">
      <c r="B12" s="16">
        <v>46177.0</v>
      </c>
      <c r="C12" s="17" t="s">
        <v>17</v>
      </c>
      <c r="D12" s="17"/>
      <c r="E12" s="18">
        <v>3.0</v>
      </c>
      <c r="F12" s="19"/>
      <c r="G12" s="20"/>
      <c r="H12" s="22" t="s">
        <v>28</v>
      </c>
      <c r="I12" s="23">
        <f>SUMIFS(F:F, C:C, "Groceries", B:B, "&gt;="&amp;EOMONTH($I$3,-1)+1, B:B, "&lt;="&amp;EOMONTH($I$3,0))</f>
        <v>0</v>
      </c>
      <c r="K12" s="14"/>
      <c r="L12" s="14"/>
      <c r="M12" s="10" t="s">
        <v>29</v>
      </c>
      <c r="N12" s="11">
        <v>9700.0</v>
      </c>
      <c r="O12" s="11" t="s">
        <v>11</v>
      </c>
    </row>
    <row r="13" ht="26.25" customHeight="1">
      <c r="B13" s="16">
        <v>46177.0</v>
      </c>
      <c r="C13" s="17" t="s">
        <v>19</v>
      </c>
      <c r="D13" s="17"/>
      <c r="E13" s="18">
        <v>0.0</v>
      </c>
      <c r="F13" s="19"/>
      <c r="G13" s="20"/>
      <c r="H13" s="22" t="s">
        <v>30</v>
      </c>
      <c r="I13" s="24">
        <f>I8+I14+SUMPRODUCT((M4:M8&lt;=L4:L8)*(O4:O8="Ghosia")*N4:N8)+SUMIFS(N12:N15,O12:O15,"Ghosia")+SUMIFS(N19:N22,O19:O22,"Ghosia")</f>
        <v>41433</v>
      </c>
      <c r="K13" s="14"/>
      <c r="L13" s="14"/>
      <c r="M13" s="14"/>
      <c r="N13" s="15"/>
      <c r="O13" s="15"/>
    </row>
    <row r="14" ht="26.25" customHeight="1">
      <c r="B14" s="16">
        <v>46178.0</v>
      </c>
      <c r="C14" s="17" t="s">
        <v>17</v>
      </c>
      <c r="D14" s="17"/>
      <c r="E14" s="18">
        <v>3.0</v>
      </c>
      <c r="F14" s="19"/>
      <c r="G14" s="20"/>
      <c r="H14" s="22" t="s">
        <v>31</v>
      </c>
      <c r="I14" s="25">
        <f>SUMIFS(F:F, D:D, "Ghosia", C:C, "&lt;&gt;Groceries", C:C, "&lt;&gt;*Milk*", B:B, "&gt;="&amp;EOMONTH($I$3,-1)+1, B:B, "&lt;="&amp;EOMONTH($I$3,0))</f>
        <v>6091</v>
      </c>
      <c r="K14" s="14"/>
      <c r="L14" s="14"/>
      <c r="M14" s="14"/>
      <c r="N14" s="15"/>
      <c r="O14" s="15"/>
    </row>
    <row r="15" ht="26.25" customHeight="1">
      <c r="B15" s="16">
        <v>46178.0</v>
      </c>
      <c r="C15" s="17" t="s">
        <v>19</v>
      </c>
      <c r="D15" s="17"/>
      <c r="E15" s="18">
        <v>0.0</v>
      </c>
      <c r="F15" s="19"/>
      <c r="G15" s="20"/>
      <c r="H15" s="22" t="s">
        <v>32</v>
      </c>
      <c r="I15" s="25">
        <f>SUMIFS(F:F, D:D, "Guddo", C:C, "&lt;&gt;*Milk*")</f>
        <v>922.74</v>
      </c>
      <c r="K15" s="14"/>
      <c r="L15" s="14"/>
      <c r="M15" s="14"/>
      <c r="N15" s="15"/>
      <c r="O15" s="15"/>
    </row>
    <row r="16" ht="26.25" customHeight="1">
      <c r="B16" s="16">
        <v>46179.0</v>
      </c>
      <c r="C16" s="17" t="s">
        <v>17</v>
      </c>
      <c r="D16" s="17"/>
      <c r="E16" s="18">
        <v>3.0</v>
      </c>
      <c r="F16" s="19"/>
      <c r="G16" s="20"/>
      <c r="H16" s="22" t="s">
        <v>33</v>
      </c>
      <c r="I16" s="24">
        <f>I10-I13</f>
        <v>18567</v>
      </c>
    </row>
    <row r="17" ht="26.25" customHeight="1">
      <c r="B17" s="16">
        <v>46179.0</v>
      </c>
      <c r="C17" s="17" t="s">
        <v>19</v>
      </c>
      <c r="D17" s="17"/>
      <c r="E17" s="18">
        <v>0.0</v>
      </c>
      <c r="F17" s="19"/>
      <c r="G17" s="20"/>
      <c r="H17" s="22" t="s">
        <v>34</v>
      </c>
      <c r="I17" s="24">
        <f>I9+I15</f>
        <v>3799.74</v>
      </c>
      <c r="K17" s="3" t="s">
        <v>35</v>
      </c>
      <c r="L17" s="4"/>
      <c r="M17" s="4"/>
      <c r="N17" s="4"/>
      <c r="O17" s="4"/>
    </row>
    <row r="18" ht="26.25" customHeight="1">
      <c r="B18" s="16">
        <v>46180.0</v>
      </c>
      <c r="C18" s="17" t="s">
        <v>17</v>
      </c>
      <c r="D18" s="17"/>
      <c r="E18" s="18">
        <v>3.0</v>
      </c>
      <c r="F18" s="19"/>
      <c r="G18" s="20"/>
      <c r="K18" s="7" t="s">
        <v>36</v>
      </c>
      <c r="L18" s="7" t="s">
        <v>37</v>
      </c>
      <c r="M18" s="7" t="s">
        <v>27</v>
      </c>
      <c r="N18" s="7" t="s">
        <v>7</v>
      </c>
      <c r="O18" s="7" t="s">
        <v>8</v>
      </c>
    </row>
    <row r="19" ht="26.25" customHeight="1">
      <c r="B19" s="16">
        <v>46180.0</v>
      </c>
      <c r="C19" s="17" t="s">
        <v>19</v>
      </c>
      <c r="D19" s="17"/>
      <c r="E19" s="18">
        <v>0.0</v>
      </c>
      <c r="F19" s="19"/>
      <c r="G19" s="20"/>
      <c r="K19" s="10" t="s">
        <v>38</v>
      </c>
      <c r="L19" s="10" t="s">
        <v>39</v>
      </c>
      <c r="M19" s="10" t="s">
        <v>40</v>
      </c>
      <c r="N19" s="11">
        <v>19000.0</v>
      </c>
      <c r="O19" s="11" t="s">
        <v>11</v>
      </c>
    </row>
    <row r="20" ht="26.25" customHeight="1">
      <c r="B20" s="16">
        <v>46181.0</v>
      </c>
      <c r="C20" s="17" t="s">
        <v>17</v>
      </c>
      <c r="D20" s="17"/>
      <c r="E20" s="18">
        <v>3.0</v>
      </c>
      <c r="F20" s="19"/>
      <c r="G20" s="20"/>
      <c r="K20" s="14"/>
      <c r="L20" s="14"/>
      <c r="M20" s="14"/>
      <c r="N20" s="15"/>
      <c r="O20" s="15"/>
    </row>
    <row r="21" ht="26.25" customHeight="1">
      <c r="B21" s="16">
        <v>46181.0</v>
      </c>
      <c r="C21" s="17" t="s">
        <v>19</v>
      </c>
      <c r="D21" s="17"/>
      <c r="E21" s="18">
        <v>3.0</v>
      </c>
      <c r="F21" s="19"/>
      <c r="G21" s="20"/>
      <c r="K21" s="14"/>
      <c r="L21" s="14"/>
      <c r="M21" s="14"/>
      <c r="N21" s="15"/>
      <c r="O21" s="15"/>
    </row>
    <row r="22" ht="26.25" customHeight="1">
      <c r="B22" s="16">
        <v>46182.0</v>
      </c>
      <c r="C22" s="17" t="s">
        <v>17</v>
      </c>
      <c r="D22" s="17"/>
      <c r="E22" s="18">
        <v>3.0</v>
      </c>
      <c r="F22" s="19"/>
      <c r="G22" s="20"/>
      <c r="K22" s="14"/>
      <c r="L22" s="14"/>
      <c r="M22" s="14"/>
      <c r="N22" s="15"/>
      <c r="O22" s="15"/>
    </row>
    <row r="23" ht="26.25" customHeight="1">
      <c r="B23" s="16">
        <v>46182.0</v>
      </c>
      <c r="C23" s="17" t="s">
        <v>19</v>
      </c>
      <c r="D23" s="17"/>
      <c r="E23" s="18">
        <v>3.0</v>
      </c>
      <c r="F23" s="19"/>
      <c r="G23" s="20"/>
    </row>
    <row r="24" ht="26.25" customHeight="1">
      <c r="B24" s="16">
        <v>46183.0</v>
      </c>
      <c r="C24" s="17" t="s">
        <v>17</v>
      </c>
      <c r="D24" s="17"/>
      <c r="E24" s="18">
        <v>3.0</v>
      </c>
      <c r="F24" s="19"/>
      <c r="G24" s="20"/>
    </row>
    <row r="25" ht="26.25" customHeight="1">
      <c r="B25" s="16">
        <v>46183.0</v>
      </c>
      <c r="C25" s="17" t="s">
        <v>19</v>
      </c>
      <c r="D25" s="17"/>
      <c r="E25" s="18">
        <v>3.0</v>
      </c>
      <c r="F25" s="19"/>
      <c r="G25" s="20"/>
      <c r="H25" s="26" t="s">
        <v>41</v>
      </c>
      <c r="I25" s="22" t="s">
        <v>42</v>
      </c>
    </row>
    <row r="26" ht="26.25" customHeight="1">
      <c r="B26" s="16">
        <v>46184.0</v>
      </c>
      <c r="C26" s="17" t="s">
        <v>17</v>
      </c>
      <c r="D26" s="17"/>
      <c r="E26" s="18">
        <v>3.0</v>
      </c>
      <c r="F26" s="19"/>
      <c r="G26" s="20"/>
      <c r="H26" s="27" t="s">
        <v>12</v>
      </c>
      <c r="I26" s="27" t="s">
        <v>13</v>
      </c>
      <c r="J26" s="27" t="s">
        <v>8</v>
      </c>
      <c r="K26" s="27" t="s">
        <v>14</v>
      </c>
      <c r="L26" s="27" t="s">
        <v>7</v>
      </c>
      <c r="M26" s="27" t="s">
        <v>15</v>
      </c>
    </row>
    <row r="27" ht="26.25" customHeight="1">
      <c r="B27" s="16">
        <v>46184.0</v>
      </c>
      <c r="C27" s="17" t="s">
        <v>19</v>
      </c>
      <c r="D27" s="17"/>
      <c r="E27" s="18">
        <v>3.0</v>
      </c>
      <c r="F27" s="19"/>
      <c r="G27" s="20"/>
      <c r="H27" s="28" t="str">
        <f>IFERROR(__xludf.DUMMYFUNCTION("IFERROR(FILTER(B6:G876, C6:C876=I25), ""No expenses found for this category."")"),"")</f>
        <v/>
      </c>
      <c r="I27" s="23" t="str">
        <f>IFERROR(__xludf.DUMMYFUNCTION("""COMPUTED_VALUE"""),"Misc Expense")</f>
        <v>Misc Expense</v>
      </c>
      <c r="J27" s="23" t="str">
        <f>IFERROR(__xludf.DUMMYFUNCTION("""COMPUTED_VALUE"""),"Guddo")</f>
        <v>Guddo</v>
      </c>
      <c r="K27" s="23"/>
      <c r="L27" s="24">
        <f>IFERROR(__xludf.DUMMYFUNCTION("""COMPUTED_VALUE"""),922.74)</f>
        <v>922.74</v>
      </c>
      <c r="M27" s="23" t="str">
        <f>IFERROR(__xludf.DUMMYFUNCTION("""COMPUTED_VALUE"""),"Canteen")</f>
        <v>Canteen</v>
      </c>
    </row>
    <row r="28" ht="26.25" customHeight="1">
      <c r="B28" s="16">
        <v>46185.0</v>
      </c>
      <c r="C28" s="17" t="s">
        <v>17</v>
      </c>
      <c r="D28" s="17"/>
      <c r="E28" s="18">
        <v>3.0</v>
      </c>
      <c r="F28" s="19"/>
      <c r="G28" s="20"/>
      <c r="H28" s="28">
        <f>IFERROR(__xludf.DUMMYFUNCTION("""COMPUTED_VALUE"""),46198.0)</f>
        <v>46198</v>
      </c>
      <c r="I28" s="23" t="str">
        <f>IFERROR(__xludf.DUMMYFUNCTION("""COMPUTED_VALUE"""),"Misc Expense")</f>
        <v>Misc Expense</v>
      </c>
      <c r="J28" s="23" t="str">
        <f>IFERROR(__xludf.DUMMYFUNCTION("""COMPUTED_VALUE"""),"Ghosia")</f>
        <v>Ghosia</v>
      </c>
      <c r="K28" s="23"/>
      <c r="L28" s="24">
        <f>IFERROR(__xludf.DUMMYFUNCTION("""COMPUTED_VALUE"""),1111.0)</f>
        <v>1111</v>
      </c>
      <c r="M28" s="23" t="str">
        <f>IFERROR(__xludf.DUMMYFUNCTION("""COMPUTED_VALUE"""),"Canteen")</f>
        <v>Canteen</v>
      </c>
    </row>
    <row r="29" ht="26.25" customHeight="1">
      <c r="B29" s="16">
        <v>46185.0</v>
      </c>
      <c r="C29" s="17" t="s">
        <v>19</v>
      </c>
      <c r="D29" s="17"/>
      <c r="E29" s="18">
        <v>3.0</v>
      </c>
      <c r="F29" s="19"/>
      <c r="G29" s="20"/>
      <c r="H29" s="28">
        <f>IFERROR(__xludf.DUMMYFUNCTION("""COMPUTED_VALUE"""),46203.0)</f>
        <v>46203</v>
      </c>
      <c r="I29" s="23" t="str">
        <f>IFERROR(__xludf.DUMMYFUNCTION("""COMPUTED_VALUE"""),"Misc Expense")</f>
        <v>Misc Expense</v>
      </c>
      <c r="J29" s="23" t="str">
        <f>IFERROR(__xludf.DUMMYFUNCTION("""COMPUTED_VALUE"""),"Ghosia")</f>
        <v>Ghosia</v>
      </c>
      <c r="K29" s="23"/>
      <c r="L29" s="24">
        <f>IFERROR(__xludf.DUMMYFUNCTION("""COMPUTED_VALUE"""),3530.0)</f>
        <v>3530</v>
      </c>
      <c r="M29" s="23" t="str">
        <f>IFERROR(__xludf.DUMMYFUNCTION("""COMPUTED_VALUE"""),"Saman")</f>
        <v>Saman</v>
      </c>
    </row>
    <row r="30" ht="26.25" customHeight="1">
      <c r="B30" s="16">
        <v>46186.0</v>
      </c>
      <c r="C30" s="17" t="s">
        <v>17</v>
      </c>
      <c r="D30" s="17"/>
      <c r="E30" s="18">
        <v>3.0</v>
      </c>
      <c r="F30" s="19"/>
      <c r="G30" s="20"/>
      <c r="H30" s="28"/>
      <c r="L30" s="24"/>
    </row>
    <row r="31" ht="26.25" customHeight="1">
      <c r="B31" s="16">
        <v>46186.0</v>
      </c>
      <c r="C31" s="17" t="s">
        <v>19</v>
      </c>
      <c r="D31" s="17"/>
      <c r="E31" s="18">
        <v>3.0</v>
      </c>
      <c r="F31" s="19"/>
      <c r="G31" s="20"/>
      <c r="H31" s="28"/>
      <c r="L31" s="24"/>
    </row>
    <row r="32" ht="26.25" customHeight="1">
      <c r="B32" s="16">
        <v>46187.0</v>
      </c>
      <c r="C32" s="17" t="s">
        <v>17</v>
      </c>
      <c r="D32" s="17"/>
      <c r="E32" s="18">
        <v>3.0</v>
      </c>
      <c r="F32" s="19"/>
      <c r="G32" s="20"/>
      <c r="H32" s="28"/>
      <c r="L32" s="24"/>
    </row>
    <row r="33" ht="26.25" customHeight="1">
      <c r="B33" s="16">
        <v>46187.0</v>
      </c>
      <c r="C33" s="17" t="s">
        <v>19</v>
      </c>
      <c r="D33" s="17"/>
      <c r="E33" s="18">
        <v>0.0</v>
      </c>
      <c r="F33" s="19"/>
      <c r="G33" s="20"/>
      <c r="H33" s="28"/>
      <c r="L33" s="24"/>
    </row>
    <row r="34" ht="26.25" customHeight="1">
      <c r="B34" s="16">
        <v>46188.0</v>
      </c>
      <c r="C34" s="17" t="s">
        <v>17</v>
      </c>
      <c r="D34" s="17"/>
      <c r="E34" s="18">
        <v>3.0</v>
      </c>
      <c r="F34" s="19"/>
      <c r="G34" s="20"/>
      <c r="H34" s="28"/>
      <c r="L34" s="24"/>
    </row>
    <row r="35" ht="26.25" customHeight="1">
      <c r="B35" s="16">
        <v>46188.0</v>
      </c>
      <c r="C35" s="17" t="s">
        <v>19</v>
      </c>
      <c r="D35" s="17"/>
      <c r="E35" s="18">
        <v>3.0</v>
      </c>
      <c r="F35" s="19"/>
      <c r="G35" s="20"/>
      <c r="H35" s="28"/>
      <c r="L35" s="24"/>
    </row>
    <row r="36" ht="26.25" customHeight="1">
      <c r="B36" s="16">
        <v>46189.0</v>
      </c>
      <c r="C36" s="17" t="s">
        <v>17</v>
      </c>
      <c r="D36" s="17"/>
      <c r="E36" s="18">
        <v>3.0</v>
      </c>
      <c r="F36" s="19"/>
      <c r="G36" s="20"/>
      <c r="H36" s="28"/>
      <c r="L36" s="24"/>
    </row>
    <row r="37" ht="26.25" customHeight="1">
      <c r="B37" s="16">
        <v>46189.0</v>
      </c>
      <c r="C37" s="17" t="s">
        <v>19</v>
      </c>
      <c r="D37" s="17"/>
      <c r="E37" s="18">
        <v>3.0</v>
      </c>
      <c r="F37" s="19"/>
      <c r="G37" s="20"/>
      <c r="H37" s="28"/>
      <c r="L37" s="24"/>
    </row>
    <row r="38" ht="26.25" customHeight="1">
      <c r="B38" s="16">
        <v>46190.0</v>
      </c>
      <c r="C38" s="17" t="s">
        <v>17</v>
      </c>
      <c r="D38" s="17"/>
      <c r="E38" s="18">
        <v>3.0</v>
      </c>
      <c r="F38" s="19"/>
      <c r="G38" s="20"/>
      <c r="H38" s="28"/>
      <c r="L38" s="24"/>
    </row>
    <row r="39" ht="26.25" customHeight="1">
      <c r="B39" s="16">
        <v>46190.0</v>
      </c>
      <c r="C39" s="17" t="s">
        <v>19</v>
      </c>
      <c r="D39" s="17"/>
      <c r="E39" s="18">
        <v>3.0</v>
      </c>
      <c r="F39" s="19"/>
      <c r="G39" s="20"/>
      <c r="H39" s="28"/>
      <c r="L39" s="24"/>
    </row>
    <row r="40" ht="26.25" customHeight="1">
      <c r="B40" s="16">
        <v>46191.0</v>
      </c>
      <c r="C40" s="17" t="s">
        <v>17</v>
      </c>
      <c r="D40" s="17"/>
      <c r="E40" s="18">
        <v>3.0</v>
      </c>
      <c r="F40" s="19"/>
      <c r="G40" s="20"/>
      <c r="H40" s="28"/>
      <c r="L40" s="24"/>
    </row>
    <row r="41" ht="26.25" customHeight="1">
      <c r="B41" s="16">
        <v>46191.0</v>
      </c>
      <c r="C41" s="17" t="s">
        <v>19</v>
      </c>
      <c r="D41" s="17"/>
      <c r="E41" s="18">
        <v>3.0</v>
      </c>
      <c r="F41" s="19"/>
      <c r="G41" s="20"/>
      <c r="H41" s="28"/>
      <c r="L41" s="24"/>
    </row>
    <row r="42" ht="26.25" customHeight="1">
      <c r="B42" s="16">
        <v>46192.0</v>
      </c>
      <c r="C42" s="17" t="s">
        <v>17</v>
      </c>
      <c r="D42" s="17"/>
      <c r="E42" s="18">
        <v>3.0</v>
      </c>
      <c r="F42" s="19"/>
      <c r="G42" s="20"/>
      <c r="H42" s="28"/>
      <c r="L42" s="24"/>
    </row>
    <row r="43" ht="26.25" customHeight="1">
      <c r="B43" s="16">
        <v>46192.0</v>
      </c>
      <c r="C43" s="17" t="s">
        <v>19</v>
      </c>
      <c r="D43" s="17"/>
      <c r="E43" s="18">
        <v>3.0</v>
      </c>
      <c r="F43" s="19"/>
      <c r="G43" s="20"/>
      <c r="H43" s="28"/>
      <c r="L43" s="24"/>
    </row>
    <row r="44" ht="26.25" customHeight="1">
      <c r="B44" s="16">
        <v>46193.0</v>
      </c>
      <c r="C44" s="17" t="s">
        <v>17</v>
      </c>
      <c r="D44" s="17"/>
      <c r="E44" s="18">
        <v>3.0</v>
      </c>
      <c r="F44" s="19"/>
      <c r="G44" s="20"/>
      <c r="H44" s="28"/>
      <c r="L44" s="24"/>
    </row>
    <row r="45" ht="26.25" customHeight="1">
      <c r="B45" s="16">
        <v>46193.0</v>
      </c>
      <c r="C45" s="17" t="s">
        <v>19</v>
      </c>
      <c r="D45" s="17"/>
      <c r="E45" s="18">
        <v>0.0</v>
      </c>
      <c r="F45" s="19"/>
      <c r="G45" s="20"/>
      <c r="H45" s="28"/>
      <c r="L45" s="24"/>
    </row>
    <row r="46" ht="26.25" customHeight="1">
      <c r="B46" s="16">
        <v>46194.0</v>
      </c>
      <c r="C46" s="17" t="s">
        <v>17</v>
      </c>
      <c r="D46" s="17"/>
      <c r="E46" s="18">
        <v>3.0</v>
      </c>
      <c r="F46" s="19"/>
      <c r="G46" s="20"/>
      <c r="H46" s="28"/>
      <c r="L46" s="24"/>
    </row>
    <row r="47" ht="26.25" customHeight="1">
      <c r="B47" s="16">
        <v>46194.0</v>
      </c>
      <c r="C47" s="17" t="s">
        <v>19</v>
      </c>
      <c r="D47" s="17"/>
      <c r="E47" s="18">
        <v>3.0</v>
      </c>
      <c r="F47" s="19"/>
      <c r="G47" s="20"/>
      <c r="H47" s="28"/>
      <c r="L47" s="24"/>
    </row>
    <row r="48" ht="26.25" customHeight="1">
      <c r="B48" s="16">
        <v>46195.0</v>
      </c>
      <c r="C48" s="17" t="s">
        <v>17</v>
      </c>
      <c r="D48" s="17"/>
      <c r="E48" s="18">
        <v>3.0</v>
      </c>
      <c r="F48" s="19"/>
      <c r="G48" s="20"/>
      <c r="H48" s="28"/>
      <c r="L48" s="24"/>
    </row>
    <row r="49" ht="26.25" customHeight="1">
      <c r="B49" s="16">
        <v>46195.0</v>
      </c>
      <c r="C49" s="17" t="s">
        <v>19</v>
      </c>
      <c r="D49" s="17"/>
      <c r="E49" s="18">
        <v>3.0</v>
      </c>
      <c r="F49" s="19"/>
      <c r="G49" s="20"/>
      <c r="H49" s="28"/>
      <c r="L49" s="24"/>
    </row>
    <row r="50" ht="26.25" customHeight="1">
      <c r="B50" s="16">
        <v>46196.0</v>
      </c>
      <c r="C50" s="17" t="s">
        <v>17</v>
      </c>
      <c r="D50" s="17"/>
      <c r="E50" s="18">
        <v>3.0</v>
      </c>
      <c r="F50" s="19"/>
      <c r="G50" s="20"/>
      <c r="H50" s="28"/>
      <c r="L50" s="24"/>
    </row>
    <row r="51" ht="26.25" customHeight="1">
      <c r="B51" s="16">
        <v>46196.0</v>
      </c>
      <c r="C51" s="17" t="s">
        <v>19</v>
      </c>
      <c r="D51" s="17"/>
      <c r="E51" s="18">
        <v>3.0</v>
      </c>
      <c r="F51" s="19"/>
      <c r="G51" s="20"/>
      <c r="H51" s="28"/>
      <c r="L51" s="24"/>
    </row>
    <row r="52" ht="26.25" customHeight="1">
      <c r="B52" s="16">
        <v>46197.0</v>
      </c>
      <c r="C52" s="17" t="s">
        <v>17</v>
      </c>
      <c r="D52" s="17"/>
      <c r="E52" s="18">
        <v>3.0</v>
      </c>
      <c r="F52" s="19"/>
      <c r="G52" s="20"/>
      <c r="H52" s="28"/>
      <c r="L52" s="24"/>
    </row>
    <row r="53" ht="26.25" customHeight="1">
      <c r="B53" s="16">
        <v>46197.0</v>
      </c>
      <c r="C53" s="17" t="s">
        <v>19</v>
      </c>
      <c r="D53" s="17"/>
      <c r="E53" s="18">
        <v>3.0</v>
      </c>
      <c r="F53" s="19"/>
      <c r="G53" s="20"/>
      <c r="H53" s="28"/>
      <c r="L53" s="24"/>
    </row>
    <row r="54" ht="26.25" customHeight="1">
      <c r="B54" s="16">
        <v>46198.0</v>
      </c>
      <c r="C54" s="17" t="s">
        <v>17</v>
      </c>
      <c r="D54" s="17"/>
      <c r="E54" s="18">
        <v>3.0</v>
      </c>
      <c r="F54" s="19"/>
      <c r="G54" s="20"/>
      <c r="H54" s="28"/>
      <c r="L54" s="24"/>
    </row>
    <row r="55" ht="26.25" customHeight="1">
      <c r="B55" s="16">
        <v>46198.0</v>
      </c>
      <c r="C55" s="17" t="s">
        <v>19</v>
      </c>
      <c r="D55" s="17"/>
      <c r="E55" s="18">
        <v>3.0</v>
      </c>
      <c r="F55" s="19"/>
      <c r="G55" s="20"/>
      <c r="H55" s="28"/>
      <c r="L55" s="24"/>
    </row>
    <row r="56" ht="26.25" customHeight="1">
      <c r="B56" s="16">
        <v>46199.0</v>
      </c>
      <c r="C56" s="17" t="s">
        <v>17</v>
      </c>
      <c r="D56" s="17"/>
      <c r="E56" s="18">
        <v>3.0</v>
      </c>
      <c r="F56" s="19"/>
      <c r="G56" s="20"/>
      <c r="H56" s="28"/>
      <c r="L56" s="24"/>
    </row>
    <row r="57" ht="26.25" customHeight="1">
      <c r="B57" s="16">
        <v>46199.0</v>
      </c>
      <c r="C57" s="17" t="s">
        <v>19</v>
      </c>
      <c r="D57" s="17"/>
      <c r="E57" s="18">
        <v>3.0</v>
      </c>
      <c r="F57" s="19"/>
      <c r="G57" s="20"/>
      <c r="H57" s="28"/>
      <c r="L57" s="24"/>
    </row>
    <row r="58" ht="26.25" customHeight="1">
      <c r="B58" s="16">
        <v>46200.0</v>
      </c>
      <c r="C58" s="17" t="s">
        <v>17</v>
      </c>
      <c r="D58" s="17"/>
      <c r="E58" s="18">
        <v>3.0</v>
      </c>
      <c r="F58" s="19"/>
      <c r="G58" s="20"/>
      <c r="H58" s="28"/>
      <c r="L58" s="24"/>
    </row>
    <row r="59" ht="26.25" customHeight="1">
      <c r="B59" s="16">
        <v>46200.0</v>
      </c>
      <c r="C59" s="17" t="s">
        <v>19</v>
      </c>
      <c r="D59" s="17"/>
      <c r="E59" s="18">
        <v>3.0</v>
      </c>
      <c r="F59" s="19"/>
      <c r="G59" s="20"/>
      <c r="H59" s="28"/>
      <c r="L59" s="24"/>
    </row>
    <row r="60" ht="26.25" customHeight="1">
      <c r="B60" s="16">
        <v>46201.0</v>
      </c>
      <c r="C60" s="17" t="s">
        <v>17</v>
      </c>
      <c r="D60" s="17"/>
      <c r="E60" s="18">
        <v>3.0</v>
      </c>
      <c r="F60" s="19"/>
      <c r="G60" s="20"/>
      <c r="H60" s="28"/>
      <c r="L60" s="24"/>
    </row>
    <row r="61" ht="26.25" customHeight="1">
      <c r="B61" s="16">
        <v>46201.0</v>
      </c>
      <c r="C61" s="17" t="s">
        <v>19</v>
      </c>
      <c r="D61" s="17"/>
      <c r="E61" s="18">
        <v>3.0</v>
      </c>
      <c r="F61" s="19"/>
      <c r="G61" s="20"/>
      <c r="H61" s="28"/>
      <c r="L61" s="24"/>
    </row>
    <row r="62" ht="26.25" customHeight="1">
      <c r="B62" s="16">
        <v>46202.0</v>
      </c>
      <c r="C62" s="17" t="s">
        <v>17</v>
      </c>
      <c r="D62" s="17"/>
      <c r="E62" s="18">
        <v>3.0</v>
      </c>
      <c r="F62" s="19"/>
      <c r="G62" s="20"/>
      <c r="H62" s="28"/>
      <c r="L62" s="24"/>
    </row>
    <row r="63" ht="26.25" customHeight="1">
      <c r="B63" s="16">
        <v>46202.0</v>
      </c>
      <c r="C63" s="17" t="s">
        <v>19</v>
      </c>
      <c r="D63" s="17"/>
      <c r="E63" s="18">
        <v>3.0</v>
      </c>
      <c r="F63" s="19"/>
      <c r="G63" s="20"/>
      <c r="H63" s="28"/>
      <c r="L63" s="24"/>
    </row>
    <row r="64" ht="26.25" customHeight="1">
      <c r="B64" s="16">
        <v>46203.0</v>
      </c>
      <c r="C64" s="17" t="s">
        <v>17</v>
      </c>
      <c r="D64" s="17"/>
      <c r="E64" s="18">
        <v>3.0</v>
      </c>
      <c r="F64" s="19"/>
      <c r="G64" s="20"/>
      <c r="H64" s="28"/>
      <c r="L64" s="24"/>
    </row>
    <row r="65" ht="26.25" customHeight="1">
      <c r="B65" s="16">
        <v>46203.0</v>
      </c>
      <c r="C65" s="17" t="s">
        <v>19</v>
      </c>
      <c r="D65" s="17"/>
      <c r="E65" s="18">
        <v>3.0</v>
      </c>
      <c r="F65" s="19"/>
      <c r="G65" s="20"/>
      <c r="H65" s="28"/>
      <c r="L65" s="24"/>
    </row>
    <row r="66" ht="26.25" customHeight="1">
      <c r="B66" s="16"/>
      <c r="C66" s="17" t="s">
        <v>42</v>
      </c>
      <c r="D66" s="17" t="s">
        <v>43</v>
      </c>
      <c r="E66" s="18"/>
      <c r="F66" s="21">
        <v>922.74</v>
      </c>
      <c r="G66" s="17" t="s">
        <v>44</v>
      </c>
      <c r="H66" s="28"/>
      <c r="L66" s="24"/>
    </row>
    <row r="67" ht="26.25" customHeight="1">
      <c r="B67" s="16"/>
      <c r="C67" s="17"/>
      <c r="D67" s="17"/>
      <c r="E67" s="18"/>
      <c r="F67" s="19"/>
      <c r="G67" s="20"/>
      <c r="H67" s="28"/>
      <c r="L67" s="24"/>
    </row>
    <row r="68" ht="26.25" customHeight="1">
      <c r="B68" s="29">
        <v>46198.0</v>
      </c>
      <c r="C68" s="17" t="s">
        <v>42</v>
      </c>
      <c r="D68" s="17" t="s">
        <v>11</v>
      </c>
      <c r="E68" s="30"/>
      <c r="F68" s="31">
        <v>1111.0</v>
      </c>
      <c r="G68" s="17" t="s">
        <v>44</v>
      </c>
      <c r="H68" s="28"/>
      <c r="L68" s="24"/>
    </row>
    <row r="69" ht="26.25" customHeight="1">
      <c r="B69" s="29">
        <v>46203.0</v>
      </c>
      <c r="C69" s="17" t="s">
        <v>42</v>
      </c>
      <c r="D69" s="17" t="s">
        <v>11</v>
      </c>
      <c r="E69" s="30"/>
      <c r="F69" s="31">
        <v>3530.0</v>
      </c>
      <c r="G69" s="17" t="s">
        <v>45</v>
      </c>
      <c r="H69" s="28"/>
      <c r="L69" s="24"/>
    </row>
    <row r="70" ht="26.25" customHeight="1">
      <c r="B70" s="29">
        <v>46203.0</v>
      </c>
      <c r="C70" s="17" t="s">
        <v>46</v>
      </c>
      <c r="D70" s="17" t="s">
        <v>11</v>
      </c>
      <c r="E70" s="30"/>
      <c r="F70" s="31">
        <v>1450.0</v>
      </c>
      <c r="G70" s="20"/>
      <c r="H70" s="28"/>
      <c r="L70" s="24"/>
    </row>
  </sheetData>
  <mergeCells count="4">
    <mergeCell ref="H2:I2"/>
    <mergeCell ref="K2:O2"/>
    <mergeCell ref="K10:O10"/>
    <mergeCell ref="K17:O17"/>
  </mergeCells>
  <dataValidations>
    <dataValidation type="custom" allowBlank="1" sqref="I3 B6:B67">
      <formula1>OR(NOT(ISERROR(DATEVALUE(B3))), AND(ISNUMBER(B3), LEFT(CELL("format", B3))="D"))</formula1>
    </dataValidation>
    <dataValidation type="list" allowBlank="1" sqref="M12:M15">
      <formula1>"Paid,Pending"</formula1>
    </dataValidation>
    <dataValidation type="custom" allowBlank="1" showErrorMessage="1" sqref="B68:B70">
      <formula1>OR(NOT(ISERROR(DATEVALUE(B68))), AND(ISNUMBER(B68), LEFT(CELL("format", B68))="D"))</formula1>
    </dataValidation>
    <dataValidation type="list" allowBlank="1" showErrorMessage="1" sqref="O4:O8 O12:O15 O19:O22">
      <formula1>"Ghosia,Guddo"</formula1>
    </dataValidation>
    <dataValidation type="list" allowBlank="1" sqref="C6:C70">
      <formula1>"Milk - Ghosia,Milk - Guddo,Grocery - Guddo,Misc Expense,Electricity - Ghosia"</formula1>
    </dataValidation>
    <dataValidation type="list" allowBlank="1" sqref="D6:D70">
      <formula1>Settings!$A$2:$A$100</formula1>
    </dataValidation>
    <dataValidation type="list" allowBlank="1" sqref="M19:M22">
      <formula1>"Active,Pending,Lapsed"</formula1>
    </dataValidation>
    <dataValidation type="list" allowBlank="1" sqref="I25">
      <formula1>'June 2026'!$C$6:$C$70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4" width="18.88"/>
    <col customWidth="1" min="5" max="5" width="10.13"/>
    <col customWidth="1" min="6" max="6" width="12.63"/>
    <col customWidth="1" min="7" max="7" width="31.38"/>
    <col customWidth="1" min="8" max="8" width="18.88"/>
    <col customWidth="1" min="9" max="9" width="12.63"/>
    <col customWidth="1" min="10" max="10" width="2.75"/>
    <col customWidth="1" min="11" max="14" width="15.13"/>
  </cols>
  <sheetData>
    <row r="1" ht="6.75" customHeight="1"/>
    <row r="2" ht="26.25" customHeight="1">
      <c r="B2" s="1" t="s">
        <v>0</v>
      </c>
      <c r="H2" s="2" t="s">
        <v>1</v>
      </c>
      <c r="K2" s="3" t="s">
        <v>2</v>
      </c>
      <c r="L2" s="4"/>
      <c r="M2" s="4"/>
      <c r="N2" s="4"/>
      <c r="O2" s="4"/>
    </row>
    <row r="3" ht="26.25" customHeight="1">
      <c r="H3" s="5" t="s">
        <v>3</v>
      </c>
      <c r="I3" s="6">
        <v>46204.0</v>
      </c>
      <c r="K3" s="7" t="s">
        <v>4</v>
      </c>
      <c r="L3" s="7" t="s">
        <v>5</v>
      </c>
      <c r="M3" s="7" t="s">
        <v>6</v>
      </c>
      <c r="N3" s="7" t="s">
        <v>7</v>
      </c>
      <c r="O3" s="7" t="s">
        <v>8</v>
      </c>
    </row>
    <row r="4" ht="26.25" customHeight="1">
      <c r="H4" s="8" t="s">
        <v>9</v>
      </c>
      <c r="I4" s="9">
        <v>42.5</v>
      </c>
      <c r="K4" s="10"/>
      <c r="L4" s="10"/>
      <c r="M4" s="10"/>
      <c r="N4" s="11"/>
      <c r="O4" s="11"/>
    </row>
    <row r="5" ht="26.25" customHeight="1">
      <c r="B5" s="2" t="s">
        <v>12</v>
      </c>
      <c r="C5" s="2" t="s">
        <v>13</v>
      </c>
      <c r="D5" s="2" t="s">
        <v>8</v>
      </c>
      <c r="E5" s="2" t="s">
        <v>14</v>
      </c>
      <c r="F5" s="2" t="s">
        <v>7</v>
      </c>
      <c r="G5" s="12" t="s">
        <v>15</v>
      </c>
      <c r="H5" s="8" t="s">
        <v>16</v>
      </c>
      <c r="I5" s="13">
        <v>399.0</v>
      </c>
      <c r="K5" s="14"/>
      <c r="L5" s="14"/>
      <c r="M5" s="14"/>
      <c r="N5" s="15"/>
      <c r="O5" s="15"/>
    </row>
    <row r="6" ht="26.25" customHeight="1">
      <c r="B6" s="16">
        <v>46204.0</v>
      </c>
      <c r="C6" s="17" t="s">
        <v>17</v>
      </c>
      <c r="D6" s="17"/>
      <c r="E6" s="18">
        <v>3.0</v>
      </c>
      <c r="F6" s="19"/>
      <c r="G6" s="20"/>
      <c r="H6" s="17" t="s">
        <v>18</v>
      </c>
      <c r="I6" s="20">
        <f>SUMIFS(E:E, C:C, "Milk - Ghosia", B:B, "&gt;="&amp;EOMONTH($I$3,-1)+1, B:B, "&lt;="&amp;EOMONTH($I$3,0))</f>
        <v>87</v>
      </c>
      <c r="K6" s="14"/>
      <c r="L6" s="14"/>
      <c r="M6" s="14"/>
      <c r="N6" s="15"/>
      <c r="O6" s="15"/>
    </row>
    <row r="7" ht="26.25" customHeight="1">
      <c r="B7" s="16">
        <v>46204.0</v>
      </c>
      <c r="C7" s="17" t="s">
        <v>19</v>
      </c>
      <c r="D7" s="17"/>
      <c r="E7" s="18">
        <v>3.0</v>
      </c>
      <c r="F7" s="19"/>
      <c r="G7" s="20"/>
      <c r="H7" s="17" t="s">
        <v>20</v>
      </c>
      <c r="I7" s="20">
        <f>SUMIFS(E:E, C:C, "Milk - Guddo", B:B, "&gt;="&amp;EOMONTH($I$3,-1)+1, B:B, "&lt;="&amp;EOMONTH($I$3,0))</f>
        <v>84</v>
      </c>
      <c r="K7" s="14"/>
      <c r="L7" s="14"/>
      <c r="M7" s="14"/>
      <c r="N7" s="15"/>
      <c r="O7" s="15"/>
    </row>
    <row r="8" ht="26.25" customHeight="1">
      <c r="B8" s="16">
        <v>46205.0</v>
      </c>
      <c r="C8" s="17" t="s">
        <v>17</v>
      </c>
      <c r="D8" s="17"/>
      <c r="E8" s="18">
        <v>3.0</v>
      </c>
      <c r="F8" s="19"/>
      <c r="G8" s="20"/>
      <c r="H8" s="17" t="s">
        <v>21</v>
      </c>
      <c r="I8" s="19">
        <f t="shared" ref="I8:I9" si="1">(I6*$I$4)+($I$5/2)</f>
        <v>3897</v>
      </c>
      <c r="K8" s="14"/>
      <c r="L8" s="14"/>
      <c r="M8" s="14"/>
      <c r="N8" s="15"/>
      <c r="O8" s="15"/>
    </row>
    <row r="9" ht="26.25" customHeight="1">
      <c r="B9" s="16">
        <v>46205.0</v>
      </c>
      <c r="C9" s="17" t="s">
        <v>19</v>
      </c>
      <c r="D9" s="17"/>
      <c r="E9" s="18">
        <v>3.0</v>
      </c>
      <c r="F9" s="19"/>
      <c r="G9" s="20"/>
      <c r="H9" s="17" t="s">
        <v>22</v>
      </c>
      <c r="I9" s="19">
        <f t="shared" si="1"/>
        <v>3769.5</v>
      </c>
    </row>
    <row r="10" ht="26.25" customHeight="1">
      <c r="B10" s="16">
        <v>46206.0</v>
      </c>
      <c r="C10" s="17" t="s">
        <v>17</v>
      </c>
      <c r="D10" s="17"/>
      <c r="E10" s="18">
        <v>3.0</v>
      </c>
      <c r="F10" s="19"/>
      <c r="G10" s="20"/>
      <c r="H10" s="17" t="s">
        <v>23</v>
      </c>
      <c r="I10" s="21">
        <v>60000.0</v>
      </c>
      <c r="K10" s="3" t="s">
        <v>24</v>
      </c>
      <c r="L10" s="4"/>
      <c r="M10" s="4"/>
      <c r="N10" s="4"/>
      <c r="O10" s="4"/>
    </row>
    <row r="11" ht="26.25" customHeight="1">
      <c r="B11" s="16">
        <v>46206.0</v>
      </c>
      <c r="C11" s="17" t="s">
        <v>19</v>
      </c>
      <c r="D11" s="17"/>
      <c r="E11" s="18">
        <v>3.0</v>
      </c>
      <c r="F11" s="19"/>
      <c r="G11" s="20"/>
      <c r="H11" s="22" t="s">
        <v>5</v>
      </c>
      <c r="I11" s="23">
        <f>SUMPRODUCT((M4:M8&lt;=L4:L8)*(M4:M8&lt;&gt;"")*N4:N8)</f>
        <v>0</v>
      </c>
      <c r="K11" s="7" t="s">
        <v>25</v>
      </c>
      <c r="L11" s="7" t="s">
        <v>26</v>
      </c>
      <c r="M11" s="7" t="s">
        <v>27</v>
      </c>
      <c r="N11" s="7" t="s">
        <v>7</v>
      </c>
      <c r="O11" s="7" t="s">
        <v>8</v>
      </c>
    </row>
    <row r="12" ht="26.25" customHeight="1">
      <c r="B12" s="16">
        <v>46207.0</v>
      </c>
      <c r="C12" s="17" t="s">
        <v>17</v>
      </c>
      <c r="D12" s="17"/>
      <c r="E12" s="18">
        <v>3.0</v>
      </c>
      <c r="F12" s="19"/>
      <c r="G12" s="20"/>
      <c r="H12" s="22" t="s">
        <v>28</v>
      </c>
      <c r="I12" s="23">
        <f>SUMIFS(F:F, C:C, "Groceries", B:B, "&gt;="&amp;EOMONTH($I$3,-1)+1, B:B, "&lt;="&amp;EOMONTH($I$3,0))</f>
        <v>0</v>
      </c>
      <c r="K12" s="14"/>
      <c r="L12" s="14"/>
      <c r="M12" s="10" t="s">
        <v>29</v>
      </c>
      <c r="N12" s="11">
        <v>9700.0</v>
      </c>
      <c r="O12" s="11" t="s">
        <v>11</v>
      </c>
    </row>
    <row r="13" ht="26.25" customHeight="1">
      <c r="B13" s="16">
        <v>46207.0</v>
      </c>
      <c r="C13" s="17" t="s">
        <v>19</v>
      </c>
      <c r="D13" s="17"/>
      <c r="E13" s="18">
        <v>3.0</v>
      </c>
      <c r="F13" s="19"/>
      <c r="G13" s="20"/>
      <c r="H13" s="22" t="s">
        <v>30</v>
      </c>
      <c r="I13" s="24">
        <f>I8+I14+SUMPRODUCT((M4:M8&lt;=L4:L8)*(O4:O8="Ghosia")*N4:N8)+SUMIFS(N12:N15,O12:O15,"Ghosia")+SUMIFS(N19:N22,O19:O22,"Ghosia")</f>
        <v>38797</v>
      </c>
      <c r="K13" s="14"/>
      <c r="L13" s="14"/>
      <c r="M13" s="14"/>
      <c r="N13" s="15"/>
      <c r="O13" s="15"/>
    </row>
    <row r="14" ht="26.25" customHeight="1">
      <c r="B14" s="16">
        <v>46208.0</v>
      </c>
      <c r="C14" s="17" t="s">
        <v>17</v>
      </c>
      <c r="D14" s="17"/>
      <c r="E14" s="18">
        <v>3.0</v>
      </c>
      <c r="F14" s="19"/>
      <c r="G14" s="20"/>
      <c r="H14" s="22" t="s">
        <v>31</v>
      </c>
      <c r="I14" s="25">
        <f>SUMIFS(F:F, D:D, "Ghosia", C:C, "&lt;&gt;Groceries", C:C, "&lt;&gt;*Milk*", B:B, "&gt;="&amp;EOMONTH($I$3,-1)+1, B:B, "&lt;="&amp;EOMONTH($I$3,0))</f>
        <v>6200</v>
      </c>
      <c r="K14" s="14"/>
      <c r="L14" s="14"/>
      <c r="M14" s="14"/>
      <c r="N14" s="15"/>
      <c r="O14" s="15"/>
    </row>
    <row r="15" ht="26.25" customHeight="1">
      <c r="B15" s="16">
        <v>46208.0</v>
      </c>
      <c r="C15" s="17" t="s">
        <v>19</v>
      </c>
      <c r="D15" s="17"/>
      <c r="E15" s="18">
        <v>3.0</v>
      </c>
      <c r="F15" s="19"/>
      <c r="G15" s="20"/>
      <c r="H15" s="22" t="s">
        <v>32</v>
      </c>
      <c r="I15" s="25">
        <f>SUMIFS(F:F, D:D, "Guddo", C:C, "&lt;&gt;Groceries", C:C, "&lt;&gt;*Milk*", B:B, "&gt;="&amp;EOMONTH($I$3,-1)+1, B:B, "&lt;="&amp;EOMONTH($I$3,0))</f>
        <v>0</v>
      </c>
      <c r="K15" s="14"/>
      <c r="L15" s="14"/>
      <c r="M15" s="14"/>
      <c r="N15" s="15"/>
      <c r="O15" s="15"/>
    </row>
    <row r="16" ht="26.25" customHeight="1">
      <c r="B16" s="16">
        <v>46209.0</v>
      </c>
      <c r="C16" s="17" t="s">
        <v>17</v>
      </c>
      <c r="D16" s="17"/>
      <c r="E16" s="18">
        <v>3.0</v>
      </c>
      <c r="F16" s="19"/>
      <c r="G16" s="20"/>
      <c r="H16" s="22" t="s">
        <v>33</v>
      </c>
      <c r="I16" s="24">
        <f>I10-I13</f>
        <v>21203</v>
      </c>
    </row>
    <row r="17" ht="26.25" customHeight="1">
      <c r="B17" s="16">
        <v>46209.0</v>
      </c>
      <c r="C17" s="17" t="s">
        <v>19</v>
      </c>
      <c r="D17" s="17"/>
      <c r="E17" s="18">
        <v>3.0</v>
      </c>
      <c r="F17" s="19"/>
      <c r="G17" s="20"/>
      <c r="H17" s="22" t="s">
        <v>34</v>
      </c>
      <c r="I17" s="24">
        <f>I9+I15</f>
        <v>3769.5</v>
      </c>
      <c r="K17" s="3" t="s">
        <v>35</v>
      </c>
      <c r="L17" s="4"/>
      <c r="M17" s="4"/>
      <c r="N17" s="4"/>
      <c r="O17" s="4"/>
    </row>
    <row r="18" ht="26.25" customHeight="1">
      <c r="B18" s="16">
        <v>46210.0</v>
      </c>
      <c r="C18" s="17" t="s">
        <v>17</v>
      </c>
      <c r="D18" s="17"/>
      <c r="E18" s="18">
        <v>3.0</v>
      </c>
      <c r="F18" s="19"/>
      <c r="G18" s="20"/>
      <c r="K18" s="7" t="s">
        <v>36</v>
      </c>
      <c r="L18" s="7" t="s">
        <v>37</v>
      </c>
      <c r="M18" s="7" t="s">
        <v>27</v>
      </c>
      <c r="N18" s="7" t="s">
        <v>7</v>
      </c>
      <c r="O18" s="7" t="s">
        <v>8</v>
      </c>
    </row>
    <row r="19" ht="26.25" customHeight="1">
      <c r="B19" s="16">
        <v>46210.0</v>
      </c>
      <c r="C19" s="17" t="s">
        <v>19</v>
      </c>
      <c r="D19" s="17"/>
      <c r="E19" s="18">
        <v>0.0</v>
      </c>
      <c r="F19" s="19"/>
      <c r="G19" s="20"/>
      <c r="K19" s="10" t="s">
        <v>38</v>
      </c>
      <c r="L19" s="10" t="s">
        <v>39</v>
      </c>
      <c r="M19" s="10" t="s">
        <v>40</v>
      </c>
      <c r="N19" s="11">
        <v>19000.0</v>
      </c>
      <c r="O19" s="11" t="s">
        <v>11</v>
      </c>
    </row>
    <row r="20" ht="26.25" customHeight="1">
      <c r="B20" s="16">
        <v>46211.0</v>
      </c>
      <c r="C20" s="17" t="s">
        <v>17</v>
      </c>
      <c r="D20" s="17"/>
      <c r="E20" s="18">
        <v>3.0</v>
      </c>
      <c r="F20" s="19"/>
      <c r="G20" s="20"/>
      <c r="K20" s="14"/>
      <c r="L20" s="14"/>
      <c r="M20" s="14"/>
      <c r="N20" s="15"/>
      <c r="O20" s="15"/>
    </row>
    <row r="21" ht="26.25" customHeight="1">
      <c r="B21" s="16">
        <v>46211.0</v>
      </c>
      <c r="C21" s="17" t="s">
        <v>19</v>
      </c>
      <c r="D21" s="17"/>
      <c r="E21" s="18">
        <v>3.0</v>
      </c>
      <c r="F21" s="19"/>
      <c r="G21" s="20"/>
      <c r="K21" s="14"/>
      <c r="L21" s="14"/>
      <c r="M21" s="14"/>
      <c r="N21" s="15"/>
      <c r="O21" s="15"/>
    </row>
    <row r="22" ht="26.25" customHeight="1">
      <c r="B22" s="16">
        <v>46212.0</v>
      </c>
      <c r="C22" s="17" t="s">
        <v>17</v>
      </c>
      <c r="D22" s="17"/>
      <c r="E22" s="18">
        <v>3.0</v>
      </c>
      <c r="F22" s="19"/>
      <c r="G22" s="20"/>
      <c r="K22" s="14"/>
      <c r="L22" s="14"/>
      <c r="M22" s="14"/>
      <c r="N22" s="15"/>
      <c r="O22" s="15"/>
    </row>
    <row r="23" ht="26.25" customHeight="1">
      <c r="B23" s="16">
        <v>46212.0</v>
      </c>
      <c r="C23" s="17" t="s">
        <v>19</v>
      </c>
      <c r="D23" s="17"/>
      <c r="E23" s="18">
        <v>3.0</v>
      </c>
      <c r="F23" s="19"/>
      <c r="G23" s="20"/>
    </row>
    <row r="24" ht="26.25" customHeight="1">
      <c r="B24" s="16">
        <v>46213.0</v>
      </c>
      <c r="C24" s="17" t="s">
        <v>17</v>
      </c>
      <c r="D24" s="17"/>
      <c r="E24" s="18">
        <v>3.0</v>
      </c>
      <c r="F24" s="19"/>
      <c r="G24" s="20"/>
    </row>
    <row r="25" ht="26.25" customHeight="1">
      <c r="B25" s="16">
        <v>46213.0</v>
      </c>
      <c r="C25" s="17" t="s">
        <v>19</v>
      </c>
      <c r="D25" s="17"/>
      <c r="E25" s="18">
        <v>3.0</v>
      </c>
      <c r="F25" s="19"/>
      <c r="G25" s="20"/>
      <c r="H25" s="26" t="s">
        <v>41</v>
      </c>
      <c r="I25" s="23" t="s">
        <v>42</v>
      </c>
    </row>
    <row r="26" ht="26.25" customHeight="1">
      <c r="B26" s="16">
        <v>46214.0</v>
      </c>
      <c r="C26" s="17" t="s">
        <v>17</v>
      </c>
      <c r="D26" s="17"/>
      <c r="E26" s="18">
        <v>3.0</v>
      </c>
      <c r="F26" s="19"/>
      <c r="G26" s="20"/>
      <c r="H26" s="27" t="s">
        <v>12</v>
      </c>
      <c r="I26" s="27" t="s">
        <v>13</v>
      </c>
      <c r="J26" s="27" t="s">
        <v>8</v>
      </c>
      <c r="K26" s="27" t="s">
        <v>14</v>
      </c>
      <c r="L26" s="27" t="s">
        <v>7</v>
      </c>
      <c r="M26" s="27" t="s">
        <v>15</v>
      </c>
    </row>
    <row r="27" ht="26.25" customHeight="1">
      <c r="B27" s="16">
        <v>46214.0</v>
      </c>
      <c r="C27" s="17" t="s">
        <v>19</v>
      </c>
      <c r="D27" s="17"/>
      <c r="E27" s="18">
        <v>3.0</v>
      </c>
      <c r="F27" s="19"/>
      <c r="G27" s="20"/>
      <c r="H27" s="28">
        <f>IFERROR(__xludf.DUMMYFUNCTION("IFERROR(FILTER(B6:G876, C6:C876=I25), ""No expenses found for this category."")"),46218.0)</f>
        <v>46218</v>
      </c>
      <c r="I27" s="23" t="str">
        <f>IFERROR(__xludf.DUMMYFUNCTION("""COMPUTED_VALUE"""),"Misc Expense")</f>
        <v>Misc Expense</v>
      </c>
      <c r="J27" s="23" t="str">
        <f>IFERROR(__xludf.DUMMYFUNCTION("""COMPUTED_VALUE"""),"Ghosia")</f>
        <v>Ghosia</v>
      </c>
      <c r="K27" s="23"/>
      <c r="L27" s="24">
        <f>IFERROR(__xludf.DUMMYFUNCTION("""COMPUTED_VALUE"""),950.0)</f>
        <v>950</v>
      </c>
      <c r="M27" s="23" t="str">
        <f>IFERROR(__xludf.DUMMYFUNCTION("""COMPUTED_VALUE"""),"Cylinder")</f>
        <v>Cylinder</v>
      </c>
    </row>
    <row r="28" ht="26.25" customHeight="1">
      <c r="B28" s="16">
        <v>46215.0</v>
      </c>
      <c r="C28" s="17" t="s">
        <v>17</v>
      </c>
      <c r="D28" s="17"/>
      <c r="E28" s="18">
        <v>3.0</v>
      </c>
      <c r="F28" s="19"/>
      <c r="G28" s="20"/>
      <c r="H28" s="28">
        <f>IFERROR(__xludf.DUMMYFUNCTION("""COMPUTED_VALUE"""),46234.0)</f>
        <v>46234</v>
      </c>
      <c r="I28" s="23" t="str">
        <f>IFERROR(__xludf.DUMMYFUNCTION("""COMPUTED_VALUE"""),"Misc Expense")</f>
        <v>Misc Expense</v>
      </c>
      <c r="J28" s="23" t="str">
        <f>IFERROR(__xludf.DUMMYFUNCTION("""COMPUTED_VALUE"""),"Ghosia")</f>
        <v>Ghosia</v>
      </c>
      <c r="K28" s="23"/>
      <c r="L28" s="24">
        <f>IFERROR(__xludf.DUMMYFUNCTION("""COMPUTED_VALUE"""),1800.0)</f>
        <v>1800</v>
      </c>
      <c r="M28" s="23" t="str">
        <f>IFERROR(__xludf.DUMMYFUNCTION("""COMPUTED_VALUE"""),"electricity")</f>
        <v>electricity</v>
      </c>
    </row>
    <row r="29" ht="26.25" customHeight="1">
      <c r="B29" s="16">
        <v>46215.0</v>
      </c>
      <c r="C29" s="17" t="s">
        <v>19</v>
      </c>
      <c r="D29" s="17"/>
      <c r="E29" s="18">
        <v>3.0</v>
      </c>
      <c r="F29" s="19"/>
      <c r="G29" s="20"/>
      <c r="H29" s="28">
        <f>IFERROR(__xludf.DUMMYFUNCTION("""COMPUTED_VALUE"""),46234.0)</f>
        <v>46234</v>
      </c>
      <c r="I29" s="23" t="str">
        <f>IFERROR(__xludf.DUMMYFUNCTION("""COMPUTED_VALUE"""),"Misc Expense")</f>
        <v>Misc Expense</v>
      </c>
      <c r="J29" s="23" t="str">
        <f>IFERROR(__xludf.DUMMYFUNCTION("""COMPUTED_VALUE"""),"Ghosia")</f>
        <v>Ghosia</v>
      </c>
      <c r="K29" s="23"/>
      <c r="L29" s="24">
        <f>IFERROR(__xludf.DUMMYFUNCTION("""COMPUTED_VALUE"""),3450.0)</f>
        <v>3450</v>
      </c>
      <c r="M29" s="23" t="str">
        <f>IFERROR(__xludf.DUMMYFUNCTION("""COMPUTED_VALUE"""),"burger &amp; online veg, TV repair, pulup bar, scooter")</f>
        <v>burger &amp; online veg, TV repair, pulup bar, scooter</v>
      </c>
    </row>
    <row r="30" ht="26.25" customHeight="1">
      <c r="B30" s="16">
        <v>46216.0</v>
      </c>
      <c r="C30" s="17" t="s">
        <v>17</v>
      </c>
      <c r="D30" s="17"/>
      <c r="E30" s="18">
        <v>3.0</v>
      </c>
      <c r="F30" s="19"/>
      <c r="G30" s="20"/>
      <c r="H30" s="28"/>
      <c r="L30" s="24"/>
    </row>
    <row r="31" ht="26.25" customHeight="1">
      <c r="B31" s="16">
        <v>46216.0</v>
      </c>
      <c r="C31" s="17" t="s">
        <v>19</v>
      </c>
      <c r="D31" s="17"/>
      <c r="E31" s="18">
        <v>3.0</v>
      </c>
      <c r="F31" s="19"/>
      <c r="G31" s="20"/>
      <c r="H31" s="28"/>
      <c r="L31" s="24"/>
    </row>
    <row r="32" ht="26.25" customHeight="1">
      <c r="B32" s="16">
        <v>46217.0</v>
      </c>
      <c r="C32" s="17" t="s">
        <v>17</v>
      </c>
      <c r="D32" s="17"/>
      <c r="E32" s="18">
        <v>3.0</v>
      </c>
      <c r="F32" s="19"/>
      <c r="G32" s="20"/>
      <c r="H32" s="28"/>
      <c r="L32" s="24"/>
    </row>
    <row r="33" ht="26.25" customHeight="1">
      <c r="B33" s="16">
        <v>46217.0</v>
      </c>
      <c r="C33" s="17" t="s">
        <v>19</v>
      </c>
      <c r="D33" s="17"/>
      <c r="E33" s="18">
        <v>3.0</v>
      </c>
      <c r="F33" s="19"/>
      <c r="G33" s="20"/>
      <c r="H33" s="28"/>
      <c r="L33" s="24"/>
    </row>
    <row r="34" ht="26.25" customHeight="1">
      <c r="B34" s="16">
        <v>46218.0</v>
      </c>
      <c r="C34" s="17" t="s">
        <v>17</v>
      </c>
      <c r="D34" s="17"/>
      <c r="E34" s="18">
        <v>0.0</v>
      </c>
      <c r="F34" s="19"/>
      <c r="G34" s="20"/>
      <c r="H34" s="28"/>
      <c r="L34" s="24"/>
    </row>
    <row r="35" ht="26.25" customHeight="1">
      <c r="B35" s="16">
        <v>46218.0</v>
      </c>
      <c r="C35" s="17" t="s">
        <v>19</v>
      </c>
      <c r="D35" s="17"/>
      <c r="E35" s="18">
        <v>3.0</v>
      </c>
      <c r="F35" s="19"/>
      <c r="G35" s="20"/>
      <c r="H35" s="28"/>
      <c r="L35" s="24"/>
    </row>
    <row r="36" ht="26.25" customHeight="1">
      <c r="B36" s="16">
        <v>46219.0</v>
      </c>
      <c r="C36" s="17" t="s">
        <v>17</v>
      </c>
      <c r="D36" s="17"/>
      <c r="E36" s="18">
        <v>3.0</v>
      </c>
      <c r="F36" s="19"/>
      <c r="G36" s="20"/>
      <c r="H36" s="28"/>
      <c r="L36" s="24"/>
    </row>
    <row r="37" ht="26.25" customHeight="1">
      <c r="B37" s="16">
        <v>46219.0</v>
      </c>
      <c r="C37" s="17" t="s">
        <v>19</v>
      </c>
      <c r="D37" s="17"/>
      <c r="E37" s="18">
        <v>3.0</v>
      </c>
      <c r="F37" s="19"/>
      <c r="G37" s="20"/>
      <c r="H37" s="28"/>
      <c r="L37" s="24"/>
    </row>
    <row r="38" ht="26.25" customHeight="1">
      <c r="B38" s="16">
        <v>46220.0</v>
      </c>
      <c r="C38" s="17" t="s">
        <v>17</v>
      </c>
      <c r="D38" s="17"/>
      <c r="E38" s="18">
        <v>3.0</v>
      </c>
      <c r="F38" s="19"/>
      <c r="G38" s="20"/>
      <c r="H38" s="28"/>
      <c r="L38" s="24"/>
    </row>
    <row r="39" ht="26.25" customHeight="1">
      <c r="B39" s="16">
        <v>46220.0</v>
      </c>
      <c r="C39" s="17" t="s">
        <v>19</v>
      </c>
      <c r="D39" s="17"/>
      <c r="E39" s="18">
        <v>3.0</v>
      </c>
      <c r="F39" s="19"/>
      <c r="G39" s="20"/>
      <c r="H39" s="28"/>
      <c r="L39" s="24"/>
    </row>
    <row r="40" ht="26.25" customHeight="1">
      <c r="B40" s="16">
        <v>46221.0</v>
      </c>
      <c r="C40" s="17" t="s">
        <v>17</v>
      </c>
      <c r="D40" s="17"/>
      <c r="E40" s="18">
        <v>3.0</v>
      </c>
      <c r="F40" s="19"/>
      <c r="G40" s="20"/>
      <c r="H40" s="28"/>
      <c r="L40" s="24"/>
    </row>
    <row r="41" ht="26.25" customHeight="1">
      <c r="B41" s="16">
        <v>46221.0</v>
      </c>
      <c r="C41" s="17" t="s">
        <v>19</v>
      </c>
      <c r="D41" s="17"/>
      <c r="E41" s="18">
        <v>3.0</v>
      </c>
      <c r="F41" s="19"/>
      <c r="G41" s="20"/>
      <c r="H41" s="28"/>
      <c r="L41" s="24"/>
    </row>
    <row r="42" ht="26.25" customHeight="1">
      <c r="B42" s="16">
        <v>46222.0</v>
      </c>
      <c r="C42" s="17" t="s">
        <v>17</v>
      </c>
      <c r="D42" s="17"/>
      <c r="E42" s="18">
        <v>3.0</v>
      </c>
      <c r="F42" s="19"/>
      <c r="G42" s="20"/>
      <c r="H42" s="28"/>
      <c r="L42" s="24"/>
    </row>
    <row r="43" ht="26.25" customHeight="1">
      <c r="B43" s="16">
        <v>46222.0</v>
      </c>
      <c r="C43" s="17" t="s">
        <v>19</v>
      </c>
      <c r="D43" s="17"/>
      <c r="E43" s="18">
        <v>3.0</v>
      </c>
      <c r="F43" s="19"/>
      <c r="G43" s="20"/>
      <c r="H43" s="28"/>
      <c r="L43" s="24"/>
    </row>
    <row r="44" ht="26.25" customHeight="1">
      <c r="B44" s="16">
        <v>46223.0</v>
      </c>
      <c r="C44" s="17" t="s">
        <v>17</v>
      </c>
      <c r="D44" s="17"/>
      <c r="E44" s="18">
        <v>3.0</v>
      </c>
      <c r="F44" s="19"/>
      <c r="G44" s="20"/>
      <c r="H44" s="28"/>
      <c r="L44" s="24"/>
    </row>
    <row r="45" ht="26.25" customHeight="1">
      <c r="B45" s="16">
        <v>46223.0</v>
      </c>
      <c r="C45" s="17" t="s">
        <v>19</v>
      </c>
      <c r="D45" s="17"/>
      <c r="E45" s="18">
        <v>3.0</v>
      </c>
      <c r="F45" s="19"/>
      <c r="G45" s="20"/>
      <c r="H45" s="28"/>
      <c r="L45" s="24"/>
    </row>
    <row r="46" ht="26.25" customHeight="1">
      <c r="B46" s="16">
        <v>46224.0</v>
      </c>
      <c r="C46" s="17" t="s">
        <v>17</v>
      </c>
      <c r="D46" s="17"/>
      <c r="E46" s="18">
        <v>0.0</v>
      </c>
      <c r="F46" s="19"/>
      <c r="G46" s="20"/>
      <c r="H46" s="28"/>
      <c r="L46" s="24"/>
    </row>
    <row r="47" ht="26.25" customHeight="1">
      <c r="B47" s="16">
        <v>46224.0</v>
      </c>
      <c r="C47" s="17" t="s">
        <v>19</v>
      </c>
      <c r="D47" s="17"/>
      <c r="E47" s="18">
        <v>3.0</v>
      </c>
      <c r="F47" s="19"/>
      <c r="G47" s="20"/>
      <c r="H47" s="28"/>
      <c r="L47" s="24"/>
    </row>
    <row r="48" ht="26.25" customHeight="1">
      <c r="B48" s="16">
        <v>46225.0</v>
      </c>
      <c r="C48" s="17" t="s">
        <v>17</v>
      </c>
      <c r="D48" s="17"/>
      <c r="E48" s="18">
        <v>3.0</v>
      </c>
      <c r="F48" s="19"/>
      <c r="G48" s="20"/>
      <c r="H48" s="28"/>
      <c r="L48" s="24"/>
    </row>
    <row r="49" ht="26.25" customHeight="1">
      <c r="B49" s="16">
        <v>46225.0</v>
      </c>
      <c r="C49" s="17" t="s">
        <v>19</v>
      </c>
      <c r="D49" s="17"/>
      <c r="E49" s="18">
        <v>3.0</v>
      </c>
      <c r="F49" s="19"/>
      <c r="G49" s="20"/>
      <c r="H49" s="28"/>
      <c r="L49" s="24"/>
    </row>
    <row r="50" ht="26.25" customHeight="1">
      <c r="B50" s="16">
        <v>46226.0</v>
      </c>
      <c r="C50" s="17" t="s">
        <v>17</v>
      </c>
      <c r="D50" s="17"/>
      <c r="E50" s="18">
        <v>3.0</v>
      </c>
      <c r="F50" s="19"/>
      <c r="G50" s="20"/>
      <c r="H50" s="28"/>
      <c r="L50" s="24"/>
    </row>
    <row r="51" ht="26.25" customHeight="1">
      <c r="B51" s="16">
        <v>46226.0</v>
      </c>
      <c r="C51" s="17" t="s">
        <v>19</v>
      </c>
      <c r="D51" s="17"/>
      <c r="E51" s="18">
        <v>3.0</v>
      </c>
      <c r="F51" s="19"/>
      <c r="G51" s="20"/>
      <c r="H51" s="28"/>
      <c r="L51" s="24"/>
    </row>
    <row r="52" ht="26.25" customHeight="1">
      <c r="B52" s="16">
        <v>46227.0</v>
      </c>
      <c r="C52" s="17" t="s">
        <v>17</v>
      </c>
      <c r="D52" s="17"/>
      <c r="E52" s="18">
        <v>3.0</v>
      </c>
      <c r="F52" s="19"/>
      <c r="G52" s="20"/>
      <c r="H52" s="28"/>
      <c r="L52" s="24"/>
    </row>
    <row r="53" ht="26.25" customHeight="1">
      <c r="B53" s="16">
        <v>46227.0</v>
      </c>
      <c r="C53" s="17" t="s">
        <v>19</v>
      </c>
      <c r="D53" s="17"/>
      <c r="E53" s="18">
        <v>0.0</v>
      </c>
      <c r="F53" s="19"/>
      <c r="G53" s="20"/>
      <c r="H53" s="28"/>
      <c r="L53" s="24"/>
    </row>
    <row r="54" ht="26.25" customHeight="1">
      <c r="B54" s="16">
        <v>46228.0</v>
      </c>
      <c r="C54" s="17" t="s">
        <v>17</v>
      </c>
      <c r="D54" s="17"/>
      <c r="E54" s="18">
        <v>3.0</v>
      </c>
      <c r="F54" s="19"/>
      <c r="G54" s="20"/>
      <c r="H54" s="28"/>
      <c r="L54" s="24"/>
    </row>
    <row r="55" ht="26.25" customHeight="1">
      <c r="B55" s="16">
        <v>46228.0</v>
      </c>
      <c r="C55" s="17" t="s">
        <v>19</v>
      </c>
      <c r="D55" s="17"/>
      <c r="E55" s="18">
        <v>3.0</v>
      </c>
      <c r="F55" s="19"/>
      <c r="G55" s="20"/>
      <c r="H55" s="28"/>
      <c r="L55" s="24"/>
    </row>
    <row r="56" ht="26.25" customHeight="1">
      <c r="B56" s="16">
        <v>46229.0</v>
      </c>
      <c r="C56" s="17" t="s">
        <v>17</v>
      </c>
      <c r="D56" s="17"/>
      <c r="E56" s="18">
        <v>3.0</v>
      </c>
      <c r="F56" s="19"/>
      <c r="G56" s="20"/>
      <c r="H56" s="28"/>
      <c r="L56" s="24"/>
    </row>
    <row r="57" ht="26.25" customHeight="1">
      <c r="B57" s="16">
        <v>46229.0</v>
      </c>
      <c r="C57" s="17" t="s">
        <v>19</v>
      </c>
      <c r="D57" s="17"/>
      <c r="E57" s="18">
        <v>3.0</v>
      </c>
      <c r="F57" s="19"/>
      <c r="G57" s="20"/>
      <c r="H57" s="28"/>
      <c r="L57" s="24"/>
    </row>
    <row r="58" ht="26.25" customHeight="1">
      <c r="B58" s="16">
        <v>46230.0</v>
      </c>
      <c r="C58" s="17" t="s">
        <v>17</v>
      </c>
      <c r="D58" s="17"/>
      <c r="E58" s="18">
        <v>3.0</v>
      </c>
      <c r="F58" s="19"/>
      <c r="G58" s="20"/>
      <c r="H58" s="28"/>
      <c r="L58" s="24"/>
    </row>
    <row r="59" ht="26.25" customHeight="1">
      <c r="B59" s="16">
        <v>46230.0</v>
      </c>
      <c r="C59" s="17" t="s">
        <v>19</v>
      </c>
      <c r="D59" s="17"/>
      <c r="E59" s="18">
        <v>3.0</v>
      </c>
      <c r="F59" s="19"/>
      <c r="G59" s="20"/>
      <c r="H59" s="28"/>
      <c r="L59" s="24"/>
    </row>
    <row r="60" ht="26.25" customHeight="1">
      <c r="B60" s="16">
        <v>46231.0</v>
      </c>
      <c r="C60" s="17" t="s">
        <v>17</v>
      </c>
      <c r="D60" s="17"/>
      <c r="E60" s="18">
        <v>3.0</v>
      </c>
      <c r="F60" s="19"/>
      <c r="G60" s="20"/>
      <c r="H60" s="28"/>
      <c r="L60" s="24"/>
    </row>
    <row r="61" ht="26.25" customHeight="1">
      <c r="B61" s="16">
        <v>46231.0</v>
      </c>
      <c r="C61" s="17" t="s">
        <v>19</v>
      </c>
      <c r="D61" s="17"/>
      <c r="E61" s="18">
        <v>3.0</v>
      </c>
      <c r="F61" s="19"/>
      <c r="G61" s="20"/>
      <c r="H61" s="28"/>
      <c r="L61" s="24"/>
    </row>
    <row r="62" ht="26.25" customHeight="1">
      <c r="B62" s="16">
        <v>46232.0</v>
      </c>
      <c r="C62" s="17" t="s">
        <v>17</v>
      </c>
      <c r="D62" s="17"/>
      <c r="E62" s="18">
        <v>3.0</v>
      </c>
      <c r="F62" s="19"/>
      <c r="G62" s="20"/>
      <c r="H62" s="28"/>
      <c r="L62" s="24"/>
    </row>
    <row r="63" ht="26.25" customHeight="1">
      <c r="B63" s="16">
        <v>46232.0</v>
      </c>
      <c r="C63" s="17" t="s">
        <v>19</v>
      </c>
      <c r="D63" s="17"/>
      <c r="E63" s="18">
        <v>3.0</v>
      </c>
      <c r="F63" s="19"/>
      <c r="G63" s="20"/>
      <c r="H63" s="28"/>
      <c r="L63" s="24"/>
    </row>
    <row r="64" ht="26.25" customHeight="1">
      <c r="B64" s="16">
        <v>46233.0</v>
      </c>
      <c r="C64" s="17" t="s">
        <v>17</v>
      </c>
      <c r="D64" s="17"/>
      <c r="E64" s="18">
        <v>3.0</v>
      </c>
      <c r="F64" s="19"/>
      <c r="G64" s="20"/>
      <c r="H64" s="28"/>
      <c r="L64" s="24"/>
    </row>
    <row r="65" ht="26.25" customHeight="1">
      <c r="B65" s="16">
        <v>46233.0</v>
      </c>
      <c r="C65" s="17" t="s">
        <v>19</v>
      </c>
      <c r="D65" s="17"/>
      <c r="E65" s="18">
        <v>0.0</v>
      </c>
      <c r="F65" s="19"/>
      <c r="G65" s="20"/>
      <c r="H65" s="28"/>
      <c r="L65" s="24"/>
    </row>
    <row r="66" ht="26.25" customHeight="1">
      <c r="B66" s="16">
        <v>46234.0</v>
      </c>
      <c r="C66" s="17" t="s">
        <v>17</v>
      </c>
      <c r="D66" s="17"/>
      <c r="E66" s="18">
        <v>3.0</v>
      </c>
      <c r="F66" s="19"/>
      <c r="G66" s="20"/>
      <c r="H66" s="28"/>
      <c r="L66" s="24"/>
    </row>
    <row r="67" ht="26.25" customHeight="1">
      <c r="B67" s="16">
        <v>46234.0</v>
      </c>
      <c r="C67" s="17" t="s">
        <v>19</v>
      </c>
      <c r="D67" s="17"/>
      <c r="E67" s="18">
        <v>3.0</v>
      </c>
      <c r="F67" s="19"/>
      <c r="G67" s="20"/>
      <c r="H67" s="28"/>
      <c r="L67" s="24"/>
    </row>
    <row r="68" ht="26.25" customHeight="1">
      <c r="B68" s="29">
        <v>46218.0</v>
      </c>
      <c r="C68" s="17" t="s">
        <v>42</v>
      </c>
      <c r="D68" s="17" t="s">
        <v>11</v>
      </c>
      <c r="E68" s="30"/>
      <c r="F68" s="31">
        <v>950.0</v>
      </c>
      <c r="G68" s="17" t="s">
        <v>62</v>
      </c>
      <c r="H68" s="28"/>
      <c r="L68" s="24"/>
    </row>
    <row r="69" ht="26.25" customHeight="1">
      <c r="B69" s="29">
        <v>46234.0</v>
      </c>
      <c r="C69" s="17" t="s">
        <v>42</v>
      </c>
      <c r="D69" s="17" t="s">
        <v>11</v>
      </c>
      <c r="E69" s="30"/>
      <c r="F69" s="31">
        <v>1800.0</v>
      </c>
      <c r="G69" s="17" t="s">
        <v>63</v>
      </c>
      <c r="H69" s="28"/>
      <c r="L69" s="24"/>
    </row>
    <row r="70" ht="26.25" customHeight="1">
      <c r="B70" s="29">
        <v>46234.0</v>
      </c>
      <c r="C70" s="17" t="s">
        <v>42</v>
      </c>
      <c r="D70" s="17" t="s">
        <v>11</v>
      </c>
      <c r="E70" s="30"/>
      <c r="F70" s="31">
        <v>3450.0</v>
      </c>
      <c r="G70" s="17" t="s">
        <v>64</v>
      </c>
      <c r="H70" s="28"/>
      <c r="L70" s="24"/>
    </row>
  </sheetData>
  <mergeCells count="4">
    <mergeCell ref="H2:I2"/>
    <mergeCell ref="K2:O2"/>
    <mergeCell ref="K10:O10"/>
    <mergeCell ref="K17:O17"/>
  </mergeCells>
  <dataValidations>
    <dataValidation type="custom" allowBlank="1" sqref="I3 B6:B67">
      <formula1>OR(NOT(ISERROR(DATEVALUE(B3))), AND(ISNUMBER(B3), LEFT(CELL("format", B3))="D"))</formula1>
    </dataValidation>
    <dataValidation type="list" allowBlank="1" sqref="M12:M15">
      <formula1>"Paid,Pending"</formula1>
    </dataValidation>
    <dataValidation type="custom" allowBlank="1" showErrorMessage="1" sqref="B68:B70">
      <formula1>OR(NOT(ISERROR(DATEVALUE(B68))), AND(ISNUMBER(B68), LEFT(CELL("format", B68))="D"))</formula1>
    </dataValidation>
    <dataValidation type="list" allowBlank="1" showErrorMessage="1" sqref="O4:O8 O12:O15 O19:O22">
      <formula1>"Ghosia,Guddo"</formula1>
    </dataValidation>
    <dataValidation type="list" allowBlank="1" sqref="C6:C70">
      <formula1>"Milk - Ghosia,Milk - Guddo,Grocery - Guddo,Misc Expense,Electricity - Ghosia"</formula1>
    </dataValidation>
    <dataValidation type="list" allowBlank="1" sqref="D6:D70">
      <formula1>Settings!$A$2:$A$100</formula1>
    </dataValidation>
    <dataValidation type="list" allowBlank="1" sqref="M19:M22">
      <formula1>"Active,Pending,Lapsed"</formula1>
    </dataValidation>
    <dataValidation type="list" allowBlank="1" sqref="I25">
      <formula1>'July 2026'!$C$6:$C$70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4" width="18.88"/>
    <col customWidth="1" min="5" max="5" width="10.13"/>
    <col customWidth="1" min="6" max="6" width="12.63"/>
    <col customWidth="1" min="7" max="7" width="31.38"/>
    <col customWidth="1" min="8" max="8" width="18.88"/>
    <col customWidth="1" min="9" max="9" width="12.63"/>
    <col customWidth="1" min="10" max="10" width="2.75"/>
    <col customWidth="1" min="11" max="14" width="15.13"/>
  </cols>
  <sheetData>
    <row r="1" ht="6.75" customHeight="1"/>
    <row r="2" ht="26.25" customHeight="1">
      <c r="B2" s="1" t="s">
        <v>0</v>
      </c>
      <c r="H2" s="2" t="s">
        <v>1</v>
      </c>
      <c r="K2" s="3" t="s">
        <v>2</v>
      </c>
      <c r="L2" s="4"/>
      <c r="M2" s="4"/>
      <c r="N2" s="4"/>
      <c r="O2" s="4"/>
    </row>
    <row r="3" ht="26.25" customHeight="1">
      <c r="H3" s="5" t="s">
        <v>3</v>
      </c>
      <c r="I3" s="6">
        <v>46235.0</v>
      </c>
      <c r="K3" s="7" t="s">
        <v>4</v>
      </c>
      <c r="L3" s="7" t="s">
        <v>5</v>
      </c>
      <c r="M3" s="7" t="s">
        <v>6</v>
      </c>
      <c r="N3" s="7" t="s">
        <v>7</v>
      </c>
      <c r="O3" s="7" t="s">
        <v>8</v>
      </c>
    </row>
    <row r="4" ht="26.25" customHeight="1">
      <c r="H4" s="8" t="s">
        <v>9</v>
      </c>
      <c r="I4" s="9">
        <v>42.5</v>
      </c>
      <c r="K4" s="10"/>
      <c r="L4" s="10"/>
      <c r="M4" s="10"/>
      <c r="N4" s="11">
        <v>0.0</v>
      </c>
      <c r="O4" s="11" t="s">
        <v>11</v>
      </c>
    </row>
    <row r="5" ht="26.25" customHeight="1">
      <c r="B5" s="2" t="s">
        <v>12</v>
      </c>
      <c r="C5" s="2" t="s">
        <v>13</v>
      </c>
      <c r="D5" s="2" t="s">
        <v>8</v>
      </c>
      <c r="E5" s="2" t="s">
        <v>14</v>
      </c>
      <c r="F5" s="2" t="s">
        <v>7</v>
      </c>
      <c r="G5" s="12" t="s">
        <v>15</v>
      </c>
      <c r="H5" s="8" t="s">
        <v>16</v>
      </c>
      <c r="I5" s="13">
        <v>399.0</v>
      </c>
      <c r="K5" s="14"/>
      <c r="L5" s="14"/>
      <c r="M5" s="14"/>
      <c r="N5" s="15"/>
      <c r="O5" s="15"/>
    </row>
    <row r="6" ht="26.25" customHeight="1">
      <c r="B6" s="16">
        <v>46235.0</v>
      </c>
      <c r="C6" s="17" t="s">
        <v>17</v>
      </c>
      <c r="D6" s="17"/>
      <c r="E6" s="18">
        <v>3.0</v>
      </c>
      <c r="F6" s="19"/>
      <c r="G6" s="20"/>
      <c r="H6" s="17" t="s">
        <v>18</v>
      </c>
      <c r="I6" s="20">
        <f>SUMIFS(E:E, C:C, "Milk - Ghosia", B:B, "&gt;="&amp;EOMONTH($I$3,-1)+1, B:B, "&lt;="&amp;EOMONTH($I$3,0))</f>
        <v>90</v>
      </c>
      <c r="K6" s="14"/>
      <c r="L6" s="14"/>
      <c r="M6" s="14"/>
      <c r="N6" s="15"/>
      <c r="O6" s="15"/>
    </row>
    <row r="7" ht="26.25" customHeight="1">
      <c r="B7" s="16">
        <v>46235.0</v>
      </c>
      <c r="C7" s="17" t="s">
        <v>19</v>
      </c>
      <c r="D7" s="17"/>
      <c r="E7" s="18">
        <v>3.0</v>
      </c>
      <c r="F7" s="19"/>
      <c r="G7" s="20"/>
      <c r="H7" s="17" t="s">
        <v>20</v>
      </c>
      <c r="I7" s="20">
        <f>SUMIFS(E:E, C:C, "Milk - Guddo", B:B, "&gt;="&amp;EOMONTH($I$3,-1)+1, B:B, "&lt;="&amp;EOMONTH($I$3,0))</f>
        <v>87</v>
      </c>
      <c r="K7" s="14"/>
      <c r="L7" s="14"/>
      <c r="M7" s="14"/>
      <c r="N7" s="15"/>
      <c r="O7" s="15"/>
    </row>
    <row r="8" ht="26.25" customHeight="1">
      <c r="B8" s="16">
        <v>46236.0</v>
      </c>
      <c r="C8" s="17" t="s">
        <v>17</v>
      </c>
      <c r="D8" s="17"/>
      <c r="E8" s="18">
        <v>3.0</v>
      </c>
      <c r="F8" s="19"/>
      <c r="G8" s="20"/>
      <c r="H8" s="17" t="s">
        <v>21</v>
      </c>
      <c r="I8" s="19">
        <f t="shared" ref="I8:I9" si="1">(I6*$I$4)+($I$5/2)</f>
        <v>4024.5</v>
      </c>
      <c r="K8" s="14"/>
      <c r="L8" s="14"/>
      <c r="M8" s="14"/>
      <c r="N8" s="15"/>
      <c r="O8" s="15"/>
    </row>
    <row r="9" ht="26.25" customHeight="1">
      <c r="B9" s="16">
        <v>46236.0</v>
      </c>
      <c r="C9" s="17" t="s">
        <v>19</v>
      </c>
      <c r="D9" s="17"/>
      <c r="E9" s="18">
        <v>3.0</v>
      </c>
      <c r="F9" s="19"/>
      <c r="G9" s="20"/>
      <c r="H9" s="17" t="s">
        <v>22</v>
      </c>
      <c r="I9" s="19">
        <f t="shared" si="1"/>
        <v>3897</v>
      </c>
    </row>
    <row r="10" ht="26.25" customHeight="1">
      <c r="B10" s="16">
        <v>46237.0</v>
      </c>
      <c r="C10" s="17" t="s">
        <v>17</v>
      </c>
      <c r="D10" s="17"/>
      <c r="E10" s="18">
        <v>3.0</v>
      </c>
      <c r="F10" s="19"/>
      <c r="G10" s="20"/>
      <c r="H10" s="17" t="s">
        <v>23</v>
      </c>
      <c r="I10" s="21">
        <v>60000.0</v>
      </c>
      <c r="K10" s="3" t="s">
        <v>24</v>
      </c>
      <c r="L10" s="4"/>
      <c r="M10" s="4"/>
      <c r="N10" s="4"/>
      <c r="O10" s="4"/>
    </row>
    <row r="11" ht="26.25" customHeight="1">
      <c r="B11" s="16">
        <v>46237.0</v>
      </c>
      <c r="C11" s="17" t="s">
        <v>19</v>
      </c>
      <c r="D11" s="17"/>
      <c r="E11" s="18">
        <v>3.0</v>
      </c>
      <c r="F11" s="19"/>
      <c r="G11" s="20"/>
      <c r="H11" s="22" t="s">
        <v>5</v>
      </c>
      <c r="I11" s="23">
        <f>SUMPRODUCT((M4:M8&lt;=L4:L8)*(M4:M8&lt;&gt;"")*N4:N8)</f>
        <v>0</v>
      </c>
      <c r="K11" s="7" t="s">
        <v>25</v>
      </c>
      <c r="L11" s="7" t="s">
        <v>26</v>
      </c>
      <c r="M11" s="7" t="s">
        <v>27</v>
      </c>
      <c r="N11" s="7" t="s">
        <v>7</v>
      </c>
      <c r="O11" s="7" t="s">
        <v>8</v>
      </c>
    </row>
    <row r="12" ht="26.25" customHeight="1">
      <c r="B12" s="16">
        <v>46238.0</v>
      </c>
      <c r="C12" s="17" t="s">
        <v>17</v>
      </c>
      <c r="D12" s="17"/>
      <c r="E12" s="18">
        <v>3.0</v>
      </c>
      <c r="F12" s="19"/>
      <c r="G12" s="20"/>
      <c r="H12" s="22" t="s">
        <v>28</v>
      </c>
      <c r="I12" s="23">
        <f>SUMIFS(F:F, C:C, "Groceries", B:B, "&gt;="&amp;EOMONTH($I$3,-1)+1, B:B, "&lt;="&amp;EOMONTH($I$3,0))</f>
        <v>0</v>
      </c>
      <c r="K12" s="14"/>
      <c r="L12" s="14"/>
      <c r="M12" s="10" t="s">
        <v>29</v>
      </c>
      <c r="N12" s="11">
        <v>9700.0</v>
      </c>
      <c r="O12" s="11" t="s">
        <v>11</v>
      </c>
    </row>
    <row r="13" ht="26.25" customHeight="1">
      <c r="B13" s="16">
        <v>46238.0</v>
      </c>
      <c r="C13" s="17" t="s">
        <v>19</v>
      </c>
      <c r="D13" s="17"/>
      <c r="E13" s="18">
        <v>3.0</v>
      </c>
      <c r="F13" s="19"/>
      <c r="G13" s="20"/>
      <c r="H13" s="22" t="s">
        <v>30</v>
      </c>
      <c r="I13" s="24">
        <f>I8+I14+SUMPRODUCT((M4:M8&lt;=L4:L8)*(O4:O8="Ghosia")*N4:N8)+SUMIFS(N12:N15,O12:O15,"Ghosia")+SUMIFS(N19:N22,O19:O22,"Ghosia")</f>
        <v>36386.5</v>
      </c>
      <c r="K13" s="14"/>
      <c r="L13" s="14"/>
      <c r="M13" s="14"/>
      <c r="N13" s="15"/>
      <c r="O13" s="15"/>
    </row>
    <row r="14" ht="26.25" customHeight="1">
      <c r="B14" s="16">
        <v>46239.0</v>
      </c>
      <c r="C14" s="17" t="s">
        <v>17</v>
      </c>
      <c r="D14" s="17"/>
      <c r="E14" s="18">
        <v>0.0</v>
      </c>
      <c r="F14" s="19"/>
      <c r="G14" s="20"/>
      <c r="H14" s="22" t="s">
        <v>31</v>
      </c>
      <c r="I14" s="25">
        <f>SUMIFS(F:F, D:D, "Ghosia", C:C, "&lt;&gt;Groceries", C:C, "&lt;&gt;*Milk*", B:B, "&gt;="&amp;EOMONTH($I$3,-1)+1, B:B, "&lt;="&amp;EOMONTH($I$3,0))</f>
        <v>3662</v>
      </c>
      <c r="K14" s="14"/>
      <c r="L14" s="14"/>
      <c r="M14" s="14"/>
      <c r="N14" s="15"/>
      <c r="O14" s="15"/>
    </row>
    <row r="15" ht="26.25" customHeight="1">
      <c r="B15" s="16">
        <v>46239.0</v>
      </c>
      <c r="C15" s="17" t="s">
        <v>19</v>
      </c>
      <c r="D15" s="17"/>
      <c r="E15" s="18">
        <v>3.0</v>
      </c>
      <c r="F15" s="19"/>
      <c r="G15" s="20"/>
      <c r="H15" s="22" t="s">
        <v>32</v>
      </c>
      <c r="I15" s="25">
        <f>SUMIFS(F:F, D:D, "Guddo", C:C, "&lt;&gt;Groceries", C:C, "&lt;&gt;*Milk*", B:B, "&gt;="&amp;EOMONTH($I$3,-1)+1, B:B, "&lt;="&amp;EOMONTH($I$3,0))</f>
        <v>0</v>
      </c>
      <c r="K15" s="14"/>
      <c r="L15" s="14"/>
      <c r="M15" s="14"/>
      <c r="N15" s="15"/>
      <c r="O15" s="15"/>
    </row>
    <row r="16" ht="26.25" customHeight="1">
      <c r="B16" s="16">
        <v>46240.0</v>
      </c>
      <c r="C16" s="17" t="s">
        <v>17</v>
      </c>
      <c r="D16" s="17"/>
      <c r="E16" s="18">
        <v>3.0</v>
      </c>
      <c r="F16" s="19"/>
      <c r="G16" s="20"/>
      <c r="H16" s="22" t="s">
        <v>33</v>
      </c>
      <c r="I16" s="24">
        <f>I10-I13</f>
        <v>23613.5</v>
      </c>
    </row>
    <row r="17" ht="26.25" customHeight="1">
      <c r="B17" s="16">
        <v>46240.0</v>
      </c>
      <c r="C17" s="17" t="s">
        <v>19</v>
      </c>
      <c r="D17" s="17"/>
      <c r="E17" s="18">
        <v>3.0</v>
      </c>
      <c r="F17" s="19"/>
      <c r="G17" s="20"/>
      <c r="H17" s="22" t="s">
        <v>34</v>
      </c>
      <c r="I17" s="24">
        <f>I9+I15</f>
        <v>3897</v>
      </c>
      <c r="K17" s="3" t="s">
        <v>35</v>
      </c>
      <c r="L17" s="4"/>
      <c r="M17" s="4"/>
      <c r="N17" s="4"/>
      <c r="O17" s="4"/>
    </row>
    <row r="18" ht="26.25" customHeight="1">
      <c r="B18" s="16">
        <v>46241.0</v>
      </c>
      <c r="C18" s="17" t="s">
        <v>17</v>
      </c>
      <c r="D18" s="17"/>
      <c r="E18" s="18">
        <v>3.0</v>
      </c>
      <c r="F18" s="19"/>
      <c r="G18" s="20"/>
      <c r="K18" s="7" t="s">
        <v>36</v>
      </c>
      <c r="L18" s="7" t="s">
        <v>37</v>
      </c>
      <c r="M18" s="7" t="s">
        <v>27</v>
      </c>
      <c r="N18" s="7" t="s">
        <v>7</v>
      </c>
      <c r="O18" s="7" t="s">
        <v>8</v>
      </c>
    </row>
    <row r="19" ht="26.25" customHeight="1">
      <c r="B19" s="16">
        <v>46241.0</v>
      </c>
      <c r="C19" s="17" t="s">
        <v>19</v>
      </c>
      <c r="D19" s="17"/>
      <c r="E19" s="18">
        <v>3.0</v>
      </c>
      <c r="F19" s="19"/>
      <c r="G19" s="20"/>
      <c r="K19" s="10" t="s">
        <v>38</v>
      </c>
      <c r="L19" s="10" t="s">
        <v>39</v>
      </c>
      <c r="M19" s="10" t="s">
        <v>40</v>
      </c>
      <c r="N19" s="11">
        <v>19000.0</v>
      </c>
      <c r="O19" s="11" t="s">
        <v>11</v>
      </c>
    </row>
    <row r="20" ht="26.25" customHeight="1">
      <c r="B20" s="16">
        <v>46242.0</v>
      </c>
      <c r="C20" s="17" t="s">
        <v>17</v>
      </c>
      <c r="D20" s="17"/>
      <c r="E20" s="18">
        <v>3.0</v>
      </c>
      <c r="F20" s="19"/>
      <c r="G20" s="20"/>
      <c r="K20" s="14"/>
      <c r="L20" s="14"/>
      <c r="M20" s="14"/>
      <c r="N20" s="15"/>
      <c r="O20" s="15"/>
    </row>
    <row r="21" ht="26.25" customHeight="1">
      <c r="B21" s="16">
        <v>46242.0</v>
      </c>
      <c r="C21" s="17" t="s">
        <v>19</v>
      </c>
      <c r="D21" s="17"/>
      <c r="E21" s="18">
        <v>3.0</v>
      </c>
      <c r="F21" s="19"/>
      <c r="G21" s="20"/>
      <c r="K21" s="14"/>
      <c r="L21" s="14"/>
      <c r="M21" s="14"/>
      <c r="N21" s="15"/>
      <c r="O21" s="15"/>
    </row>
    <row r="22" ht="26.25" customHeight="1">
      <c r="B22" s="16">
        <v>46243.0</v>
      </c>
      <c r="C22" s="17" t="s">
        <v>17</v>
      </c>
      <c r="D22" s="17"/>
      <c r="E22" s="18">
        <v>3.0</v>
      </c>
      <c r="F22" s="19"/>
      <c r="G22" s="20"/>
      <c r="K22" s="14"/>
      <c r="L22" s="14"/>
      <c r="M22" s="14"/>
      <c r="N22" s="15"/>
      <c r="O22" s="15"/>
    </row>
    <row r="23" ht="26.25" customHeight="1">
      <c r="B23" s="16">
        <v>46243.0</v>
      </c>
      <c r="C23" s="17" t="s">
        <v>19</v>
      </c>
      <c r="D23" s="17"/>
      <c r="E23" s="18">
        <v>3.0</v>
      </c>
      <c r="F23" s="19"/>
      <c r="G23" s="20"/>
    </row>
    <row r="24" ht="26.25" customHeight="1">
      <c r="B24" s="16">
        <v>46244.0</v>
      </c>
      <c r="C24" s="17" t="s">
        <v>17</v>
      </c>
      <c r="D24" s="17"/>
      <c r="E24" s="18">
        <v>3.0</v>
      </c>
      <c r="F24" s="19"/>
      <c r="G24" s="20"/>
    </row>
    <row r="25" ht="26.25" customHeight="1">
      <c r="B25" s="16">
        <v>46244.0</v>
      </c>
      <c r="C25" s="17" t="s">
        <v>19</v>
      </c>
      <c r="D25" s="17"/>
      <c r="E25" s="18">
        <v>3.0</v>
      </c>
      <c r="F25" s="19"/>
      <c r="G25" s="20"/>
      <c r="H25" s="26" t="s">
        <v>41</v>
      </c>
      <c r="I25" s="23" t="s">
        <v>42</v>
      </c>
    </row>
    <row r="26" ht="26.25" customHeight="1">
      <c r="B26" s="16">
        <v>46245.0</v>
      </c>
      <c r="C26" s="17" t="s">
        <v>17</v>
      </c>
      <c r="D26" s="17"/>
      <c r="E26" s="18">
        <v>3.0</v>
      </c>
      <c r="F26" s="19"/>
      <c r="G26" s="20"/>
      <c r="H26" s="27" t="s">
        <v>12</v>
      </c>
      <c r="I26" s="27" t="s">
        <v>13</v>
      </c>
      <c r="J26" s="27" t="s">
        <v>8</v>
      </c>
      <c r="K26" s="27" t="s">
        <v>14</v>
      </c>
      <c r="L26" s="27" t="s">
        <v>7</v>
      </c>
      <c r="M26" s="27" t="s">
        <v>15</v>
      </c>
    </row>
    <row r="27" ht="26.25" customHeight="1">
      <c r="B27" s="16">
        <v>46245.0</v>
      </c>
      <c r="C27" s="17" t="s">
        <v>19</v>
      </c>
      <c r="D27" s="17"/>
      <c r="E27" s="18">
        <v>3.0</v>
      </c>
      <c r="F27" s="19"/>
      <c r="G27" s="20"/>
      <c r="H27" s="28">
        <f>IFERROR(__xludf.DUMMYFUNCTION("IFERROR(FILTER(B6:G879, C6:C879=I25), ""No expenses found for this category."")"),46237.0)</f>
        <v>46237</v>
      </c>
      <c r="I27" s="23" t="str">
        <f>IFERROR(__xludf.DUMMYFUNCTION("""COMPUTED_VALUE"""),"Misc Expense")</f>
        <v>Misc Expense</v>
      </c>
      <c r="J27" s="23" t="str">
        <f>IFERROR(__xludf.DUMMYFUNCTION("""COMPUTED_VALUE"""),"Ghosia")</f>
        <v>Ghosia</v>
      </c>
      <c r="K27" s="23"/>
      <c r="L27" s="24">
        <f>IFERROR(__xludf.DUMMYFUNCTION("""COMPUTED_VALUE"""),679.0)</f>
        <v>679</v>
      </c>
      <c r="M27" s="23" t="str">
        <f>IFERROR(__xludf.DUMMYFUNCTION("""COMPUTED_VALUE"""),"Ghee")</f>
        <v>Ghee</v>
      </c>
    </row>
    <row r="28" ht="26.25" customHeight="1">
      <c r="B28" s="16">
        <v>46246.0</v>
      </c>
      <c r="C28" s="17" t="s">
        <v>17</v>
      </c>
      <c r="D28" s="17"/>
      <c r="E28" s="18">
        <v>3.0</v>
      </c>
      <c r="F28" s="19"/>
      <c r="G28" s="20"/>
      <c r="H28" s="28">
        <f>IFERROR(__xludf.DUMMYFUNCTION("""COMPUTED_VALUE"""),46237.0)</f>
        <v>46237</v>
      </c>
      <c r="I28" s="23" t="str">
        <f>IFERROR(__xludf.DUMMYFUNCTION("""COMPUTED_VALUE"""),"Misc Expense")</f>
        <v>Misc Expense</v>
      </c>
      <c r="J28" s="23" t="str">
        <f>IFERROR(__xludf.DUMMYFUNCTION("""COMPUTED_VALUE"""),"Ghosia")</f>
        <v>Ghosia</v>
      </c>
      <c r="K28" s="23"/>
      <c r="L28" s="24">
        <f>IFERROR(__xludf.DUMMYFUNCTION("""COMPUTED_VALUE"""),500.0)</f>
        <v>500</v>
      </c>
      <c r="M28" s="23" t="str">
        <f>IFERROR(__xludf.DUMMYFUNCTION("""COMPUTED_VALUE"""),"Canteen saman(maggi, Sabun &amp; Soya sauce)")</f>
        <v>Canteen saman(maggi, Sabun &amp; Soya sauce)</v>
      </c>
    </row>
    <row r="29" ht="26.25" customHeight="1">
      <c r="B29" s="16">
        <v>46246.0</v>
      </c>
      <c r="C29" s="17" t="s">
        <v>19</v>
      </c>
      <c r="D29" s="17"/>
      <c r="E29" s="18">
        <v>3.0</v>
      </c>
      <c r="F29" s="19"/>
      <c r="G29" s="20"/>
      <c r="H29" s="28">
        <f>IFERROR(__xludf.DUMMYFUNCTION("""COMPUTED_VALUE"""),46242.0)</f>
        <v>46242</v>
      </c>
      <c r="I29" s="23" t="str">
        <f>IFERROR(__xludf.DUMMYFUNCTION("""COMPUTED_VALUE"""),"Misc Expense")</f>
        <v>Misc Expense</v>
      </c>
      <c r="J29" s="23" t="str">
        <f>IFERROR(__xludf.DUMMYFUNCTION("""COMPUTED_VALUE"""),"Ghosia")</f>
        <v>Ghosia</v>
      </c>
      <c r="K29" s="23"/>
      <c r="L29" s="24">
        <f>IFERROR(__xludf.DUMMYFUNCTION("""COMPUTED_VALUE"""),1000.0)</f>
        <v>1000</v>
      </c>
      <c r="M29" s="23" t="str">
        <f>IFERROR(__xludf.DUMMYFUNCTION("""COMPUTED_VALUE"""),"650 teeth madecin+200 gosh+30 bread+ chuhemar")</f>
        <v>650 teeth madecin+200 gosh+30 bread+ chuhemar</v>
      </c>
    </row>
    <row r="30" ht="26.25" customHeight="1">
      <c r="B30" s="16">
        <v>46247.0</v>
      </c>
      <c r="C30" s="17" t="s">
        <v>17</v>
      </c>
      <c r="D30" s="17"/>
      <c r="E30" s="18">
        <v>3.0</v>
      </c>
      <c r="F30" s="19"/>
      <c r="G30" s="20"/>
      <c r="H30" s="28">
        <f>IFERROR(__xludf.DUMMYFUNCTION("""COMPUTED_VALUE"""),46263.0)</f>
        <v>46263</v>
      </c>
      <c r="I30" s="23" t="str">
        <f>IFERROR(__xludf.DUMMYFUNCTION("""COMPUTED_VALUE"""),"Misc Expense")</f>
        <v>Misc Expense</v>
      </c>
      <c r="J30" s="23" t="str">
        <f>IFERROR(__xludf.DUMMYFUNCTION("""COMPUTED_VALUE"""),"Ghosia")</f>
        <v>Ghosia</v>
      </c>
      <c r="K30" s="23"/>
      <c r="L30" s="24">
        <f>IFERROR(__xludf.DUMMYFUNCTION("""COMPUTED_VALUE"""),679.0)</f>
        <v>679</v>
      </c>
      <c r="M30" s="23" t="str">
        <f>IFERROR(__xludf.DUMMYFUNCTION("""COMPUTED_VALUE"""),"Ghee")</f>
        <v>Ghee</v>
      </c>
    </row>
    <row r="31" ht="26.25" customHeight="1">
      <c r="B31" s="16">
        <v>46247.0</v>
      </c>
      <c r="C31" s="17" t="s">
        <v>19</v>
      </c>
      <c r="D31" s="17"/>
      <c r="E31" s="18">
        <v>3.0</v>
      </c>
      <c r="F31" s="19"/>
      <c r="G31" s="20"/>
      <c r="H31" s="28">
        <f>IFERROR(__xludf.DUMMYFUNCTION("""COMPUTED_VALUE"""),46262.0)</f>
        <v>46262</v>
      </c>
      <c r="I31" s="23" t="str">
        <f>IFERROR(__xludf.DUMMYFUNCTION("""COMPUTED_VALUE"""),"Misc Expense")</f>
        <v>Misc Expense</v>
      </c>
      <c r="J31" s="23" t="str">
        <f>IFERROR(__xludf.DUMMYFUNCTION("""COMPUTED_VALUE"""),"Ghosia")</f>
        <v>Ghosia</v>
      </c>
      <c r="K31" s="23"/>
      <c r="L31" s="24">
        <f>IFERROR(__xludf.DUMMYFUNCTION("""COMPUTED_VALUE"""),132.0)</f>
        <v>132</v>
      </c>
      <c r="M31" s="23" t="str">
        <f>IFERROR(__xludf.DUMMYFUNCTION("""COMPUTED_VALUE"""),"Sugar")</f>
        <v>Sugar</v>
      </c>
    </row>
    <row r="32" ht="26.25" customHeight="1">
      <c r="B32" s="16">
        <v>46248.0</v>
      </c>
      <c r="C32" s="17" t="s">
        <v>17</v>
      </c>
      <c r="D32" s="17"/>
      <c r="E32" s="18">
        <v>3.0</v>
      </c>
      <c r="F32" s="19"/>
      <c r="G32" s="20"/>
      <c r="H32" s="28">
        <f>IFERROR(__xludf.DUMMYFUNCTION("""COMPUTED_VALUE"""),46263.0)</f>
        <v>46263</v>
      </c>
      <c r="I32" s="23" t="str">
        <f>IFERROR(__xludf.DUMMYFUNCTION("""COMPUTED_VALUE"""),"Misc Expense")</f>
        <v>Misc Expense</v>
      </c>
      <c r="J32" s="23" t="str">
        <f>IFERROR(__xludf.DUMMYFUNCTION("""COMPUTED_VALUE"""),"Ghosia")</f>
        <v>Ghosia</v>
      </c>
      <c r="K32" s="23"/>
      <c r="L32" s="24">
        <f>IFERROR(__xludf.DUMMYFUNCTION("""COMPUTED_VALUE"""),672.0)</f>
        <v>672</v>
      </c>
      <c r="M32" s="23" t="str">
        <f>IFERROR(__xludf.DUMMYFUNCTION("""COMPUTED_VALUE"""),"Zahran's sword")</f>
        <v>Zahran's sword</v>
      </c>
    </row>
    <row r="33" ht="26.25" customHeight="1">
      <c r="B33" s="16">
        <v>46248.0</v>
      </c>
      <c r="C33" s="17" t="s">
        <v>19</v>
      </c>
      <c r="D33" s="17"/>
      <c r="E33" s="18">
        <v>3.0</v>
      </c>
      <c r="F33" s="19"/>
      <c r="G33" s="20"/>
      <c r="H33" s="28"/>
      <c r="L33" s="24"/>
    </row>
    <row r="34" ht="26.25" customHeight="1">
      <c r="B34" s="16">
        <v>46249.0</v>
      </c>
      <c r="C34" s="17" t="s">
        <v>17</v>
      </c>
      <c r="D34" s="17"/>
      <c r="E34" s="18">
        <v>3.0</v>
      </c>
      <c r="F34" s="19"/>
      <c r="G34" s="20"/>
      <c r="H34" s="28"/>
      <c r="L34" s="24"/>
    </row>
    <row r="35" ht="26.25" customHeight="1">
      <c r="B35" s="16">
        <v>46249.0</v>
      </c>
      <c r="C35" s="17" t="s">
        <v>19</v>
      </c>
      <c r="D35" s="17"/>
      <c r="E35" s="18">
        <v>3.0</v>
      </c>
      <c r="F35" s="19"/>
      <c r="G35" s="20"/>
      <c r="H35" s="28"/>
      <c r="L35" s="24"/>
    </row>
    <row r="36" ht="26.25" customHeight="1">
      <c r="B36" s="16">
        <v>46250.0</v>
      </c>
      <c r="C36" s="17" t="s">
        <v>17</v>
      </c>
      <c r="D36" s="17"/>
      <c r="E36" s="18">
        <v>3.0</v>
      </c>
      <c r="F36" s="19"/>
      <c r="G36" s="20"/>
      <c r="H36" s="28"/>
      <c r="L36" s="24"/>
    </row>
    <row r="37" ht="26.25" customHeight="1">
      <c r="B37" s="16">
        <v>46250.0</v>
      </c>
      <c r="C37" s="17" t="s">
        <v>19</v>
      </c>
      <c r="D37" s="17"/>
      <c r="E37" s="18">
        <v>3.0</v>
      </c>
      <c r="F37" s="19"/>
      <c r="G37" s="20"/>
      <c r="H37" s="28"/>
      <c r="L37" s="24"/>
    </row>
    <row r="38" ht="26.25" customHeight="1">
      <c r="B38" s="16">
        <v>46251.0</v>
      </c>
      <c r="C38" s="17" t="s">
        <v>17</v>
      </c>
      <c r="D38" s="17"/>
      <c r="E38" s="18">
        <v>3.0</v>
      </c>
      <c r="F38" s="19"/>
      <c r="G38" s="20"/>
      <c r="H38" s="28"/>
      <c r="L38" s="24"/>
    </row>
    <row r="39" ht="26.25" customHeight="1">
      <c r="B39" s="16">
        <v>46251.0</v>
      </c>
      <c r="C39" s="17" t="s">
        <v>19</v>
      </c>
      <c r="D39" s="17"/>
      <c r="E39" s="18">
        <v>3.0</v>
      </c>
      <c r="F39" s="19"/>
      <c r="G39" s="20"/>
      <c r="H39" s="28"/>
      <c r="L39" s="24"/>
    </row>
    <row r="40" ht="26.25" customHeight="1">
      <c r="B40" s="16">
        <v>46252.0</v>
      </c>
      <c r="C40" s="17" t="s">
        <v>17</v>
      </c>
      <c r="D40" s="17"/>
      <c r="E40" s="18">
        <v>3.0</v>
      </c>
      <c r="F40" s="19"/>
      <c r="G40" s="20"/>
      <c r="H40" s="28"/>
      <c r="L40" s="24"/>
    </row>
    <row r="41" ht="26.25" customHeight="1">
      <c r="B41" s="16">
        <v>46252.0</v>
      </c>
      <c r="C41" s="17" t="s">
        <v>19</v>
      </c>
      <c r="D41" s="17"/>
      <c r="E41" s="18">
        <v>3.0</v>
      </c>
      <c r="F41" s="19"/>
      <c r="G41" s="20"/>
      <c r="H41" s="28"/>
      <c r="L41" s="24"/>
    </row>
    <row r="42" ht="26.25" customHeight="1">
      <c r="B42" s="16">
        <v>46253.0</v>
      </c>
      <c r="C42" s="17" t="s">
        <v>17</v>
      </c>
      <c r="D42" s="17"/>
      <c r="E42" s="18">
        <v>3.0</v>
      </c>
      <c r="F42" s="19"/>
      <c r="G42" s="20"/>
      <c r="H42" s="28"/>
      <c r="L42" s="24"/>
    </row>
    <row r="43" ht="26.25" customHeight="1">
      <c r="B43" s="16">
        <v>46253.0</v>
      </c>
      <c r="C43" s="17" t="s">
        <v>19</v>
      </c>
      <c r="D43" s="17"/>
      <c r="E43" s="18">
        <v>3.0</v>
      </c>
      <c r="F43" s="19"/>
      <c r="G43" s="20"/>
      <c r="H43" s="28"/>
      <c r="L43" s="24"/>
    </row>
    <row r="44" ht="26.25" customHeight="1">
      <c r="B44" s="16">
        <v>46254.0</v>
      </c>
      <c r="C44" s="17" t="s">
        <v>17</v>
      </c>
      <c r="D44" s="17"/>
      <c r="E44" s="18">
        <v>3.0</v>
      </c>
      <c r="F44" s="19"/>
      <c r="G44" s="20"/>
      <c r="H44" s="28"/>
      <c r="L44" s="24"/>
    </row>
    <row r="45" ht="26.25" customHeight="1">
      <c r="B45" s="16">
        <v>46254.0</v>
      </c>
      <c r="C45" s="17" t="s">
        <v>19</v>
      </c>
      <c r="D45" s="17"/>
      <c r="E45" s="18">
        <v>3.0</v>
      </c>
      <c r="F45" s="19"/>
      <c r="G45" s="20"/>
      <c r="H45" s="28"/>
      <c r="L45" s="24"/>
    </row>
    <row r="46" ht="26.25" customHeight="1">
      <c r="B46" s="16">
        <v>46255.0</v>
      </c>
      <c r="C46" s="17" t="s">
        <v>17</v>
      </c>
      <c r="D46" s="17"/>
      <c r="E46" s="18">
        <v>3.0</v>
      </c>
      <c r="F46" s="19"/>
      <c r="G46" s="20"/>
      <c r="H46" s="28"/>
      <c r="L46" s="24"/>
    </row>
    <row r="47" ht="26.25" customHeight="1">
      <c r="B47" s="16">
        <v>46255.0</v>
      </c>
      <c r="C47" s="17" t="s">
        <v>19</v>
      </c>
      <c r="D47" s="17"/>
      <c r="E47" s="18">
        <v>3.0</v>
      </c>
      <c r="F47" s="19"/>
      <c r="G47" s="20"/>
      <c r="H47" s="28"/>
      <c r="L47" s="24"/>
    </row>
    <row r="48" ht="26.25" customHeight="1">
      <c r="B48" s="16">
        <v>46256.0</v>
      </c>
      <c r="C48" s="17" t="s">
        <v>17</v>
      </c>
      <c r="D48" s="17"/>
      <c r="E48" s="18">
        <v>3.0</v>
      </c>
      <c r="F48" s="19"/>
      <c r="G48" s="20"/>
      <c r="H48" s="28"/>
      <c r="L48" s="24"/>
    </row>
    <row r="49" ht="26.25" customHeight="1">
      <c r="B49" s="16">
        <v>46256.0</v>
      </c>
      <c r="C49" s="17" t="s">
        <v>19</v>
      </c>
      <c r="D49" s="17"/>
      <c r="E49" s="18">
        <v>3.0</v>
      </c>
      <c r="F49" s="19"/>
      <c r="G49" s="20"/>
      <c r="H49" s="28"/>
      <c r="L49" s="24"/>
    </row>
    <row r="50" ht="26.25" customHeight="1">
      <c r="B50" s="16">
        <v>46257.0</v>
      </c>
      <c r="C50" s="17" t="s">
        <v>17</v>
      </c>
      <c r="D50" s="17"/>
      <c r="E50" s="18">
        <v>3.0</v>
      </c>
      <c r="F50" s="19"/>
      <c r="G50" s="20"/>
      <c r="H50" s="28"/>
      <c r="L50" s="24"/>
    </row>
    <row r="51" ht="26.25" customHeight="1">
      <c r="B51" s="16">
        <v>46257.0</v>
      </c>
      <c r="C51" s="17" t="s">
        <v>19</v>
      </c>
      <c r="D51" s="17"/>
      <c r="E51" s="18">
        <v>3.0</v>
      </c>
      <c r="F51" s="19"/>
      <c r="G51" s="20"/>
      <c r="H51" s="28"/>
      <c r="L51" s="24"/>
    </row>
    <row r="52" ht="26.25" customHeight="1">
      <c r="B52" s="16">
        <v>46258.0</v>
      </c>
      <c r="C52" s="17" t="s">
        <v>17</v>
      </c>
      <c r="D52" s="17"/>
      <c r="E52" s="18">
        <v>3.0</v>
      </c>
      <c r="F52" s="19"/>
      <c r="G52" s="20"/>
      <c r="H52" s="28"/>
      <c r="L52" s="24"/>
    </row>
    <row r="53" ht="26.25" customHeight="1">
      <c r="B53" s="16">
        <v>46258.0</v>
      </c>
      <c r="C53" s="17" t="s">
        <v>19</v>
      </c>
      <c r="D53" s="17"/>
      <c r="E53" s="18">
        <v>3.0</v>
      </c>
      <c r="F53" s="19"/>
      <c r="G53" s="20"/>
      <c r="H53" s="28"/>
      <c r="L53" s="24"/>
    </row>
    <row r="54" ht="26.25" customHeight="1">
      <c r="B54" s="16">
        <v>46259.0</v>
      </c>
      <c r="C54" s="17" t="s">
        <v>17</v>
      </c>
      <c r="D54" s="17"/>
      <c r="E54" s="18">
        <v>3.0</v>
      </c>
      <c r="F54" s="19"/>
      <c r="G54" s="20"/>
      <c r="H54" s="28"/>
      <c r="L54" s="24"/>
    </row>
    <row r="55" ht="26.25" customHeight="1">
      <c r="B55" s="16">
        <v>46259.0</v>
      </c>
      <c r="C55" s="17" t="s">
        <v>19</v>
      </c>
      <c r="D55" s="17"/>
      <c r="E55" s="18">
        <v>3.0</v>
      </c>
      <c r="F55" s="19"/>
      <c r="G55" s="20"/>
      <c r="H55" s="28"/>
      <c r="L55" s="24"/>
    </row>
    <row r="56" ht="26.25" customHeight="1">
      <c r="B56" s="16">
        <v>46260.0</v>
      </c>
      <c r="C56" s="17" t="s">
        <v>17</v>
      </c>
      <c r="D56" s="17"/>
      <c r="E56" s="18">
        <v>3.0</v>
      </c>
      <c r="F56" s="19"/>
      <c r="G56" s="20"/>
      <c r="H56" s="28"/>
      <c r="L56" s="24"/>
    </row>
    <row r="57" ht="26.25" customHeight="1">
      <c r="B57" s="16">
        <v>46260.0</v>
      </c>
      <c r="C57" s="17" t="s">
        <v>19</v>
      </c>
      <c r="D57" s="17"/>
      <c r="E57" s="18">
        <v>0.0</v>
      </c>
      <c r="F57" s="19"/>
      <c r="G57" s="20"/>
      <c r="H57" s="28"/>
      <c r="L57" s="24"/>
    </row>
    <row r="58" ht="26.25" customHeight="1">
      <c r="B58" s="16">
        <v>46261.0</v>
      </c>
      <c r="C58" s="17" t="s">
        <v>17</v>
      </c>
      <c r="D58" s="17"/>
      <c r="E58" s="18">
        <v>3.0</v>
      </c>
      <c r="F58" s="19"/>
      <c r="G58" s="20"/>
      <c r="H58" s="28"/>
      <c r="L58" s="24"/>
    </row>
    <row r="59" ht="26.25" customHeight="1">
      <c r="B59" s="16">
        <v>46261.0</v>
      </c>
      <c r="C59" s="17" t="s">
        <v>19</v>
      </c>
      <c r="D59" s="17"/>
      <c r="E59" s="18">
        <v>3.0</v>
      </c>
      <c r="F59" s="19"/>
      <c r="G59" s="20"/>
      <c r="H59" s="28"/>
      <c r="L59" s="24"/>
    </row>
    <row r="60" ht="26.25" customHeight="1">
      <c r="B60" s="16">
        <v>46262.0</v>
      </c>
      <c r="C60" s="17" t="s">
        <v>17</v>
      </c>
      <c r="D60" s="17"/>
      <c r="E60" s="18">
        <v>3.0</v>
      </c>
      <c r="F60" s="19"/>
      <c r="G60" s="20"/>
      <c r="H60" s="28"/>
      <c r="L60" s="24"/>
    </row>
    <row r="61" ht="26.25" customHeight="1">
      <c r="B61" s="16">
        <v>46262.0</v>
      </c>
      <c r="C61" s="17" t="s">
        <v>19</v>
      </c>
      <c r="D61" s="17"/>
      <c r="E61" s="18">
        <v>3.0</v>
      </c>
      <c r="F61" s="19"/>
      <c r="G61" s="20"/>
      <c r="H61" s="28"/>
      <c r="L61" s="24"/>
    </row>
    <row r="62" ht="26.25" customHeight="1">
      <c r="B62" s="16">
        <v>46263.0</v>
      </c>
      <c r="C62" s="17" t="s">
        <v>17</v>
      </c>
      <c r="D62" s="17"/>
      <c r="E62" s="18">
        <v>3.0</v>
      </c>
      <c r="F62" s="19"/>
      <c r="G62" s="20"/>
      <c r="H62" s="28"/>
      <c r="L62" s="24"/>
    </row>
    <row r="63" ht="26.25" customHeight="1">
      <c r="B63" s="16">
        <v>46263.0</v>
      </c>
      <c r="C63" s="17" t="s">
        <v>19</v>
      </c>
      <c r="D63" s="17"/>
      <c r="E63" s="18">
        <v>3.0</v>
      </c>
      <c r="F63" s="19"/>
      <c r="G63" s="20"/>
      <c r="H63" s="28"/>
      <c r="L63" s="24"/>
    </row>
    <row r="64" ht="26.25" customHeight="1">
      <c r="B64" s="16">
        <v>46264.0</v>
      </c>
      <c r="C64" s="17" t="s">
        <v>17</v>
      </c>
      <c r="D64" s="17"/>
      <c r="E64" s="18">
        <v>3.0</v>
      </c>
      <c r="F64" s="19"/>
      <c r="G64" s="20"/>
      <c r="H64" s="28"/>
      <c r="L64" s="24"/>
    </row>
    <row r="65" ht="26.25" customHeight="1">
      <c r="B65" s="16">
        <v>46264.0</v>
      </c>
      <c r="C65" s="17" t="s">
        <v>19</v>
      </c>
      <c r="D65" s="17"/>
      <c r="E65" s="18">
        <v>0.0</v>
      </c>
      <c r="F65" s="19"/>
      <c r="G65" s="20"/>
      <c r="H65" s="28"/>
      <c r="L65" s="24"/>
    </row>
    <row r="66" ht="26.25" customHeight="1">
      <c r="B66" s="16">
        <v>46265.0</v>
      </c>
      <c r="C66" s="17" t="s">
        <v>17</v>
      </c>
      <c r="D66" s="17"/>
      <c r="E66" s="18">
        <v>3.0</v>
      </c>
      <c r="F66" s="19"/>
      <c r="G66" s="20"/>
      <c r="H66" s="28"/>
      <c r="L66" s="24"/>
    </row>
    <row r="67" ht="26.25" customHeight="1">
      <c r="B67" s="16">
        <v>46265.0</v>
      </c>
      <c r="C67" s="17" t="s">
        <v>19</v>
      </c>
      <c r="D67" s="17"/>
      <c r="E67" s="18">
        <v>3.0</v>
      </c>
      <c r="F67" s="19"/>
      <c r="G67" s="20"/>
      <c r="H67" s="28"/>
      <c r="L67" s="24"/>
    </row>
    <row r="68" ht="26.25" customHeight="1">
      <c r="B68" s="29">
        <v>46237.0</v>
      </c>
      <c r="C68" s="17" t="s">
        <v>42</v>
      </c>
      <c r="D68" s="17" t="s">
        <v>11</v>
      </c>
      <c r="E68" s="30"/>
      <c r="F68" s="31">
        <v>679.0</v>
      </c>
      <c r="G68" s="17" t="s">
        <v>50</v>
      </c>
      <c r="H68" s="28"/>
      <c r="L68" s="24"/>
    </row>
    <row r="69" ht="26.25" customHeight="1">
      <c r="B69" s="29">
        <v>46237.0</v>
      </c>
      <c r="C69" s="17" t="s">
        <v>42</v>
      </c>
      <c r="D69" s="17" t="s">
        <v>11</v>
      </c>
      <c r="E69" s="30"/>
      <c r="F69" s="31">
        <v>500.0</v>
      </c>
      <c r="G69" s="17" t="s">
        <v>51</v>
      </c>
      <c r="H69" s="28"/>
      <c r="L69" s="24"/>
    </row>
    <row r="70" ht="26.25" customHeight="1">
      <c r="B70" s="29">
        <v>46242.0</v>
      </c>
      <c r="C70" s="17" t="s">
        <v>42</v>
      </c>
      <c r="D70" s="17" t="s">
        <v>11</v>
      </c>
      <c r="E70" s="30"/>
      <c r="F70" s="31">
        <v>1000.0</v>
      </c>
      <c r="G70" s="17" t="s">
        <v>52</v>
      </c>
      <c r="H70" s="28"/>
      <c r="L70" s="24"/>
    </row>
    <row r="71" ht="26.25" customHeight="1">
      <c r="B71" s="29">
        <v>46263.0</v>
      </c>
      <c r="C71" s="17" t="s">
        <v>42</v>
      </c>
      <c r="D71" s="17" t="s">
        <v>11</v>
      </c>
      <c r="E71" s="30"/>
      <c r="F71" s="31">
        <v>679.0</v>
      </c>
      <c r="G71" s="17" t="s">
        <v>50</v>
      </c>
      <c r="H71" s="28" t="s">
        <v>53</v>
      </c>
      <c r="I71" s="23" t="s">
        <v>54</v>
      </c>
      <c r="J71" s="23" t="s">
        <v>55</v>
      </c>
      <c r="K71" s="23" t="s">
        <v>56</v>
      </c>
      <c r="L71" s="24" t="s">
        <v>29</v>
      </c>
    </row>
    <row r="72" ht="26.25" customHeight="1">
      <c r="B72" s="29">
        <v>46262.0</v>
      </c>
      <c r="C72" s="17" t="s">
        <v>42</v>
      </c>
      <c r="D72" s="17" t="s">
        <v>11</v>
      </c>
      <c r="E72" s="30"/>
      <c r="F72" s="31">
        <v>132.0</v>
      </c>
      <c r="G72" s="17" t="s">
        <v>57</v>
      </c>
      <c r="H72" s="28" t="s">
        <v>53</v>
      </c>
      <c r="I72" s="23" t="s">
        <v>54</v>
      </c>
      <c r="J72" s="23" t="s">
        <v>56</v>
      </c>
      <c r="K72" s="23" t="s">
        <v>56</v>
      </c>
      <c r="L72" s="24" t="s">
        <v>29</v>
      </c>
    </row>
    <row r="73" ht="26.25" customHeight="1">
      <c r="B73" s="29">
        <v>46263.0</v>
      </c>
      <c r="C73" s="17" t="s">
        <v>42</v>
      </c>
      <c r="D73" s="17" t="s">
        <v>11</v>
      </c>
      <c r="E73" s="30"/>
      <c r="F73" s="31">
        <v>672.0</v>
      </c>
      <c r="G73" s="17" t="s">
        <v>58</v>
      </c>
      <c r="H73" s="28" t="s">
        <v>53</v>
      </c>
      <c r="I73" s="23" t="s">
        <v>54</v>
      </c>
      <c r="J73" s="23" t="s">
        <v>59</v>
      </c>
      <c r="K73" s="23" t="s">
        <v>56</v>
      </c>
      <c r="L73" s="24" t="s">
        <v>29</v>
      </c>
    </row>
    <row r="74">
      <c r="B74" s="32"/>
      <c r="C74" s="32"/>
      <c r="D74" s="32"/>
      <c r="E74" s="20"/>
      <c r="F74" s="17"/>
      <c r="G74" s="17"/>
      <c r="H74" s="22" t="s">
        <v>60</v>
      </c>
    </row>
    <row r="75">
      <c r="B75" s="32"/>
      <c r="C75" s="32"/>
      <c r="D75" s="32"/>
      <c r="E75" s="20"/>
      <c r="F75" s="17">
        <v>550.0</v>
      </c>
      <c r="G75" s="17" t="s">
        <v>61</v>
      </c>
    </row>
  </sheetData>
  <mergeCells count="4">
    <mergeCell ref="H2:I2"/>
    <mergeCell ref="K2:O2"/>
    <mergeCell ref="K10:O10"/>
    <mergeCell ref="K17:O17"/>
  </mergeCells>
  <dataValidations>
    <dataValidation type="custom" allowBlank="1" sqref="I3 B6:B67">
      <formula1>OR(NOT(ISERROR(DATEVALUE(B3))), AND(ISNUMBER(B3), LEFT(CELL("format", B3))="D"))</formula1>
    </dataValidation>
    <dataValidation type="list" allowBlank="1" sqref="I25">
      <formula1>'August 2026'!$C$6:$C$70</formula1>
    </dataValidation>
    <dataValidation type="list" allowBlank="1" sqref="M12:M15">
      <formula1>"Paid,Pending"</formula1>
    </dataValidation>
    <dataValidation type="custom" allowBlank="1" showErrorMessage="1" sqref="B68:B73">
      <formula1>OR(NOT(ISERROR(DATEVALUE(B68))), AND(ISNUMBER(B68), LEFT(CELL("format", B68))="D"))</formula1>
    </dataValidation>
    <dataValidation type="list" allowBlank="1" showErrorMessage="1" sqref="O4:O8 O12:O15 O19:O22">
      <formula1>"Ghosia,Guddo"</formula1>
    </dataValidation>
    <dataValidation type="list" allowBlank="1" sqref="C6:C73">
      <formula1>"Milk - Ghosia,Milk - Guddo,Grocery - Guddo,Misc Expense,Electricity - Ghosia"</formula1>
    </dataValidation>
    <dataValidation type="list" allowBlank="1" sqref="D6:D73">
      <formula1>Settings!$A$2:$A$100</formula1>
    </dataValidation>
    <dataValidation type="list" allowBlank="1" sqref="M19:M22">
      <formula1>"Active,Pending,Lapsed"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8</v>
      </c>
    </row>
    <row r="2">
      <c r="A2" s="22" t="s">
        <v>11</v>
      </c>
    </row>
    <row r="3">
      <c r="A3" s="22" t="s">
        <v>43</v>
      </c>
    </row>
  </sheetData>
  <drawing r:id="rId1"/>
</worksheet>
</file>